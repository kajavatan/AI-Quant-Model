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/>
  <xr:revisionPtr revIDLastSave="0" documentId="13_ncr:1_{F85C9251-583D-4711-B09E-91C1E27E1714}" xr6:coauthVersionLast="47" xr6:coauthVersionMax="47" xr10:uidLastSave="{00000000-0000-0000-0000-000000000000}"/>
  <bookViews>
    <workbookView xWindow="-108" yWindow="-108" windowWidth="23256" windowHeight="12456" firstSheet="3" activeTab="4" xr2:uid="{00000000-000D-0000-FFFF-FFFF00000000}"/>
  </bookViews>
  <sheets>
    <sheet name="Fundamentals" sheetId="1" r:id="rId1"/>
    <sheet name="Ratios" sheetId="2" r:id="rId2"/>
    <sheet name="Dummy Variable Creation" sheetId="3" r:id="rId3"/>
    <sheet name="Data Processing All dummy varia" sheetId="4" r:id="rId4"/>
    <sheet name="DATA - dummy variable merged" sheetId="6" r:id="rId5"/>
    <sheet name="WeightOfEvidence AND IV" sheetId="5" r:id="rId6"/>
    <sheet name="DATA - Filtered" sheetId="7" r:id="rId7"/>
    <sheet name="DATA-TRANPOSED" sheetId="8" r:id="rId8"/>
  </sheets>
  <definedNames>
    <definedName name="_xlnm._FilterDatabase" localSheetId="0" hidden="1">Fundamentals!$B$1:$B$204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86" i="5" l="1"/>
  <c r="K238" i="5"/>
  <c r="G241" i="5"/>
  <c r="H241" i="5" s="1"/>
  <c r="J241" i="5" s="1"/>
  <c r="I241" i="5"/>
  <c r="F241" i="5"/>
  <c r="G240" i="5"/>
  <c r="H240" i="5"/>
  <c r="I240" i="5"/>
  <c r="J240" i="5"/>
  <c r="F240" i="5"/>
  <c r="G239" i="5"/>
  <c r="H239" i="5"/>
  <c r="J239" i="5" s="1"/>
  <c r="I239" i="5"/>
  <c r="F239" i="5"/>
  <c r="G238" i="5"/>
  <c r="H238" i="5"/>
  <c r="I238" i="5"/>
  <c r="J238" i="5"/>
  <c r="F238" i="5"/>
  <c r="K231" i="5"/>
  <c r="K234" i="5"/>
  <c r="G237" i="5"/>
  <c r="H237" i="5" s="1"/>
  <c r="F237" i="5"/>
  <c r="G236" i="5"/>
  <c r="H236" i="5" s="1"/>
  <c r="F236" i="5"/>
  <c r="G235" i="5"/>
  <c r="H235" i="5" s="1"/>
  <c r="J235" i="5" s="1"/>
  <c r="I235" i="5"/>
  <c r="F235" i="5"/>
  <c r="G234" i="5"/>
  <c r="H234" i="5"/>
  <c r="I234" i="5"/>
  <c r="J234" i="5"/>
  <c r="F234" i="5"/>
  <c r="G233" i="5"/>
  <c r="H233" i="5"/>
  <c r="J233" i="5" s="1"/>
  <c r="I233" i="5"/>
  <c r="F233" i="5"/>
  <c r="G232" i="5"/>
  <c r="H232" i="5"/>
  <c r="I232" i="5"/>
  <c r="J232" i="5"/>
  <c r="F232" i="5"/>
  <c r="G231" i="5"/>
  <c r="H231" i="5" s="1"/>
  <c r="J231" i="5" s="1"/>
  <c r="I231" i="5"/>
  <c r="F231" i="5"/>
  <c r="G230" i="5"/>
  <c r="F230" i="5"/>
  <c r="I230" i="5" s="1"/>
  <c r="G229" i="5"/>
  <c r="H229" i="5"/>
  <c r="F229" i="5"/>
  <c r="I229" i="5" s="1"/>
  <c r="G228" i="5"/>
  <c r="F228" i="5"/>
  <c r="I228" i="5" s="1"/>
  <c r="G227" i="5"/>
  <c r="F227" i="5"/>
  <c r="I227" i="5" s="1"/>
  <c r="G226" i="5"/>
  <c r="F226" i="5"/>
  <c r="H226" i="5" s="1"/>
  <c r="G225" i="5"/>
  <c r="F225" i="5"/>
  <c r="G224" i="5"/>
  <c r="F224" i="5"/>
  <c r="I224" i="5" s="1"/>
  <c r="G223" i="5"/>
  <c r="F223" i="5"/>
  <c r="H223" i="5" s="1"/>
  <c r="G222" i="5"/>
  <c r="F222" i="5"/>
  <c r="H222" i="5" s="1"/>
  <c r="G221" i="5"/>
  <c r="F221" i="5"/>
  <c r="I221" i="5" s="1"/>
  <c r="G220" i="5"/>
  <c r="F220" i="5"/>
  <c r="H220" i="5" s="1"/>
  <c r="G219" i="5"/>
  <c r="F219" i="5"/>
  <c r="I219" i="5" s="1"/>
  <c r="G218" i="5"/>
  <c r="F218" i="5"/>
  <c r="I218" i="5" s="1"/>
  <c r="G217" i="5"/>
  <c r="F217" i="5"/>
  <c r="I217" i="5" s="1"/>
  <c r="G216" i="5"/>
  <c r="F216" i="5"/>
  <c r="G215" i="5"/>
  <c r="F215" i="5"/>
  <c r="H215" i="5" s="1"/>
  <c r="G214" i="5"/>
  <c r="H214" i="5"/>
  <c r="F214" i="5"/>
  <c r="G213" i="5"/>
  <c r="H213" i="5" s="1"/>
  <c r="J213" i="5" s="1"/>
  <c r="I213" i="5"/>
  <c r="F213" i="5"/>
  <c r="G212" i="5"/>
  <c r="I212" i="5"/>
  <c r="F212" i="5"/>
  <c r="H212" i="5" s="1"/>
  <c r="J212" i="5" s="1"/>
  <c r="G211" i="5"/>
  <c r="F211" i="5"/>
  <c r="G210" i="5"/>
  <c r="I210" i="5" s="1"/>
  <c r="F210" i="5"/>
  <c r="G209" i="5"/>
  <c r="F209" i="5"/>
  <c r="G208" i="5"/>
  <c r="F208" i="5"/>
  <c r="G207" i="5"/>
  <c r="H207" i="5" s="1"/>
  <c r="F207" i="5"/>
  <c r="G206" i="5"/>
  <c r="H206" i="5" s="1"/>
  <c r="J206" i="5" s="1"/>
  <c r="I206" i="5"/>
  <c r="F206" i="5"/>
  <c r="G205" i="5"/>
  <c r="F205" i="5"/>
  <c r="H205" i="5" s="1"/>
  <c r="G204" i="5"/>
  <c r="F204" i="5"/>
  <c r="H204" i="5" s="1"/>
  <c r="G203" i="5"/>
  <c r="F203" i="5"/>
  <c r="I203" i="5" s="1"/>
  <c r="G202" i="5"/>
  <c r="F202" i="5"/>
  <c r="I202" i="5" s="1"/>
  <c r="G201" i="5"/>
  <c r="F201" i="5"/>
  <c r="I201" i="5" s="1"/>
  <c r="G200" i="5"/>
  <c r="F200" i="5"/>
  <c r="H200" i="5" s="1"/>
  <c r="G199" i="5"/>
  <c r="F199" i="5"/>
  <c r="H199" i="5" s="1"/>
  <c r="G198" i="5"/>
  <c r="F198" i="5"/>
  <c r="I198" i="5" s="1"/>
  <c r="G197" i="5"/>
  <c r="F197" i="5"/>
  <c r="G196" i="5"/>
  <c r="F196" i="5"/>
  <c r="H196" i="5" s="1"/>
  <c r="G195" i="5"/>
  <c r="F195" i="5"/>
  <c r="I195" i="5" s="1"/>
  <c r="G194" i="5"/>
  <c r="F194" i="5"/>
  <c r="H194" i="5" s="1"/>
  <c r="G193" i="5"/>
  <c r="F193" i="5"/>
  <c r="H193" i="5" s="1"/>
  <c r="G192" i="5"/>
  <c r="F192" i="5"/>
  <c r="I192" i="5" s="1"/>
  <c r="G191" i="5"/>
  <c r="F191" i="5"/>
  <c r="H191" i="5" s="1"/>
  <c r="G190" i="5"/>
  <c r="F190" i="5"/>
  <c r="I190" i="5" s="1"/>
  <c r="G189" i="5"/>
  <c r="F189" i="5"/>
  <c r="H189" i="5" s="1"/>
  <c r="G188" i="5"/>
  <c r="H188" i="5"/>
  <c r="F188" i="5"/>
  <c r="I188" i="5" s="1"/>
  <c r="G187" i="5"/>
  <c r="F187" i="5"/>
  <c r="G186" i="5"/>
  <c r="F186" i="5"/>
  <c r="G185" i="5"/>
  <c r="F185" i="5"/>
  <c r="G184" i="5"/>
  <c r="F184" i="5"/>
  <c r="G183" i="5"/>
  <c r="F183" i="5"/>
  <c r="G182" i="5"/>
  <c r="F182" i="5"/>
  <c r="G181" i="5"/>
  <c r="F181" i="5"/>
  <c r="I181" i="5" s="1"/>
  <c r="G180" i="5"/>
  <c r="F180" i="5"/>
  <c r="G179" i="5"/>
  <c r="H179" i="5"/>
  <c r="F179" i="5"/>
  <c r="G178" i="5"/>
  <c r="F178" i="5"/>
  <c r="G177" i="5"/>
  <c r="F177" i="5"/>
  <c r="G176" i="5"/>
  <c r="F176" i="5"/>
  <c r="I176" i="5" s="1"/>
  <c r="G175" i="5"/>
  <c r="F175" i="5"/>
  <c r="H175" i="5" s="1"/>
  <c r="G174" i="5"/>
  <c r="F174" i="5"/>
  <c r="G173" i="5"/>
  <c r="F173" i="5"/>
  <c r="I173" i="5" s="1"/>
  <c r="G172" i="5"/>
  <c r="H172" i="5"/>
  <c r="F172" i="5"/>
  <c r="I172" i="5" s="1"/>
  <c r="G171" i="5"/>
  <c r="F171" i="5"/>
  <c r="G170" i="5"/>
  <c r="F170" i="5"/>
  <c r="G169" i="5"/>
  <c r="F169" i="5"/>
  <c r="G168" i="5"/>
  <c r="F168" i="5"/>
  <c r="G167" i="5"/>
  <c r="F167" i="5"/>
  <c r="G166" i="5"/>
  <c r="F166" i="5"/>
  <c r="G165" i="5"/>
  <c r="F165" i="5"/>
  <c r="G164" i="5"/>
  <c r="F164" i="5"/>
  <c r="G163" i="5"/>
  <c r="F163" i="5"/>
  <c r="G162" i="5"/>
  <c r="F162" i="5"/>
  <c r="G161" i="5"/>
  <c r="F161" i="5"/>
  <c r="G160" i="5"/>
  <c r="F160" i="5"/>
  <c r="G159" i="5"/>
  <c r="F159" i="5"/>
  <c r="G158" i="5"/>
  <c r="F158" i="5"/>
  <c r="G157" i="5"/>
  <c r="F157" i="5"/>
  <c r="G156" i="5"/>
  <c r="H156" i="5" s="1"/>
  <c r="F156" i="5"/>
  <c r="G155" i="5"/>
  <c r="F155" i="5"/>
  <c r="G154" i="5"/>
  <c r="F154" i="5"/>
  <c r="G153" i="5"/>
  <c r="F153" i="5"/>
  <c r="G152" i="5"/>
  <c r="F152" i="5"/>
  <c r="G151" i="5"/>
  <c r="F151" i="5"/>
  <c r="G150" i="5"/>
  <c r="F150" i="5"/>
  <c r="G149" i="5"/>
  <c r="F149" i="5"/>
  <c r="G148" i="5"/>
  <c r="F148" i="5"/>
  <c r="G147" i="5"/>
  <c r="F147" i="5"/>
  <c r="G146" i="5"/>
  <c r="F146" i="5"/>
  <c r="G145" i="5"/>
  <c r="F145" i="5"/>
  <c r="G144" i="5"/>
  <c r="F144" i="5"/>
  <c r="G143" i="5"/>
  <c r="F143" i="5"/>
  <c r="G142" i="5"/>
  <c r="F142" i="5"/>
  <c r="G141" i="5"/>
  <c r="F141" i="5"/>
  <c r="G140" i="5"/>
  <c r="F140" i="5"/>
  <c r="G139" i="5"/>
  <c r="F139" i="5"/>
  <c r="G138" i="5"/>
  <c r="F138" i="5"/>
  <c r="G137" i="5"/>
  <c r="F137" i="5"/>
  <c r="G136" i="5"/>
  <c r="F136" i="5"/>
  <c r="G135" i="5"/>
  <c r="F135" i="5"/>
  <c r="G134" i="5"/>
  <c r="F134" i="5"/>
  <c r="G133" i="5"/>
  <c r="F133" i="5"/>
  <c r="G132" i="5"/>
  <c r="F132" i="5"/>
  <c r="G131" i="5"/>
  <c r="F131" i="5"/>
  <c r="G130" i="5"/>
  <c r="F130" i="5"/>
  <c r="G129" i="5"/>
  <c r="F129" i="5"/>
  <c r="G128" i="5"/>
  <c r="F128" i="5"/>
  <c r="G127" i="5"/>
  <c r="F127" i="5"/>
  <c r="G126" i="5"/>
  <c r="F126" i="5"/>
  <c r="G125" i="5"/>
  <c r="F125" i="5"/>
  <c r="G124" i="5"/>
  <c r="F124" i="5"/>
  <c r="G123" i="5"/>
  <c r="F123" i="5"/>
  <c r="G122" i="5"/>
  <c r="F122" i="5"/>
  <c r="G121" i="5"/>
  <c r="F121" i="5"/>
  <c r="G120" i="5"/>
  <c r="F120" i="5"/>
  <c r="G119" i="5"/>
  <c r="F119" i="5"/>
  <c r="G118" i="5"/>
  <c r="F118" i="5"/>
  <c r="G117" i="5"/>
  <c r="F117" i="5"/>
  <c r="G116" i="5"/>
  <c r="F116" i="5"/>
  <c r="G115" i="5"/>
  <c r="F115" i="5"/>
  <c r="G114" i="5"/>
  <c r="F114" i="5"/>
  <c r="G113" i="5"/>
  <c r="F113" i="5"/>
  <c r="G112" i="5"/>
  <c r="F112" i="5"/>
  <c r="G111" i="5"/>
  <c r="F111" i="5"/>
  <c r="G110" i="5"/>
  <c r="F110" i="5"/>
  <c r="G109" i="5"/>
  <c r="F109" i="5"/>
  <c r="G108" i="5"/>
  <c r="F108" i="5"/>
  <c r="G107" i="5"/>
  <c r="F107" i="5"/>
  <c r="G106" i="5"/>
  <c r="F106" i="5"/>
  <c r="G105" i="5"/>
  <c r="F105" i="5"/>
  <c r="G104" i="5"/>
  <c r="F104" i="5"/>
  <c r="G103" i="5"/>
  <c r="F103" i="5"/>
  <c r="G102" i="5"/>
  <c r="F102" i="5"/>
  <c r="G101" i="5"/>
  <c r="F101" i="5"/>
  <c r="G100" i="5"/>
  <c r="F100" i="5"/>
  <c r="G99" i="5"/>
  <c r="F99" i="5"/>
  <c r="G98" i="5"/>
  <c r="F98" i="5"/>
  <c r="G97" i="5"/>
  <c r="F97" i="5"/>
  <c r="G96" i="5"/>
  <c r="F96" i="5"/>
  <c r="G95" i="5"/>
  <c r="F95" i="5"/>
  <c r="G94" i="5"/>
  <c r="F94" i="5"/>
  <c r="G93" i="5"/>
  <c r="F93" i="5"/>
  <c r="G92" i="5"/>
  <c r="F92" i="5"/>
  <c r="G91" i="5"/>
  <c r="F91" i="5"/>
  <c r="G90" i="5"/>
  <c r="F90" i="5"/>
  <c r="G89" i="5"/>
  <c r="F89" i="5"/>
  <c r="G88" i="5"/>
  <c r="F88" i="5"/>
  <c r="G87" i="5"/>
  <c r="F87" i="5"/>
  <c r="G86" i="5"/>
  <c r="F86" i="5"/>
  <c r="G85" i="5"/>
  <c r="F85" i="5"/>
  <c r="G84" i="5"/>
  <c r="F84" i="5"/>
  <c r="G83" i="5"/>
  <c r="F83" i="5"/>
  <c r="G82" i="5"/>
  <c r="F82" i="5"/>
  <c r="G81" i="5"/>
  <c r="F81" i="5"/>
  <c r="G80" i="5"/>
  <c r="G79" i="5"/>
  <c r="G78" i="5"/>
  <c r="G77" i="5"/>
  <c r="F80" i="5"/>
  <c r="F79" i="5"/>
  <c r="F78" i="5"/>
  <c r="F77" i="5"/>
  <c r="G76" i="5"/>
  <c r="F76" i="5"/>
  <c r="G75" i="5"/>
  <c r="F75" i="5"/>
  <c r="G74" i="5"/>
  <c r="F74" i="5"/>
  <c r="G73" i="5"/>
  <c r="F73" i="5"/>
  <c r="G72" i="5"/>
  <c r="F72" i="5"/>
  <c r="G71" i="5"/>
  <c r="F71" i="5"/>
  <c r="G70" i="5"/>
  <c r="F70" i="5"/>
  <c r="G69" i="5"/>
  <c r="F69" i="5"/>
  <c r="G68" i="5"/>
  <c r="F68" i="5"/>
  <c r="G67" i="5"/>
  <c r="F67" i="5"/>
  <c r="G66" i="5"/>
  <c r="F66" i="5"/>
  <c r="G65" i="5"/>
  <c r="F65" i="5"/>
  <c r="G64" i="5"/>
  <c r="F64" i="5"/>
  <c r="G63" i="5"/>
  <c r="F63" i="5"/>
  <c r="G62" i="5"/>
  <c r="F62" i="5"/>
  <c r="G61" i="5"/>
  <c r="F61" i="5"/>
  <c r="G60" i="5"/>
  <c r="F60" i="5"/>
  <c r="G59" i="5"/>
  <c r="F59" i="5"/>
  <c r="G58" i="5"/>
  <c r="F58" i="5"/>
  <c r="G57" i="5"/>
  <c r="F57" i="5"/>
  <c r="G56" i="5"/>
  <c r="F56" i="5"/>
  <c r="G55" i="5"/>
  <c r="F55" i="5"/>
  <c r="G54" i="5"/>
  <c r="F54" i="5"/>
  <c r="G53" i="5"/>
  <c r="G52" i="5"/>
  <c r="F53" i="5"/>
  <c r="F52" i="5"/>
  <c r="G51" i="5"/>
  <c r="F51" i="5"/>
  <c r="G50" i="5"/>
  <c r="F50" i="5"/>
  <c r="G49" i="5"/>
  <c r="F49" i="5"/>
  <c r="G48" i="5"/>
  <c r="F48" i="5"/>
  <c r="G47" i="5"/>
  <c r="F47" i="5"/>
  <c r="G46" i="5"/>
  <c r="F46" i="5"/>
  <c r="G45" i="5"/>
  <c r="F45" i="5"/>
  <c r="G44" i="5"/>
  <c r="F44" i="5"/>
  <c r="G43" i="5"/>
  <c r="F43" i="5"/>
  <c r="G42" i="5"/>
  <c r="F42" i="5"/>
  <c r="G41" i="5"/>
  <c r="F41" i="5"/>
  <c r="G40" i="5"/>
  <c r="F40" i="5"/>
  <c r="G39" i="5"/>
  <c r="F39" i="5"/>
  <c r="G38" i="5"/>
  <c r="F38" i="5"/>
  <c r="G37" i="5"/>
  <c r="F37" i="5"/>
  <c r="G36" i="5"/>
  <c r="F36" i="5"/>
  <c r="G35" i="5"/>
  <c r="F35" i="5"/>
  <c r="G34" i="5"/>
  <c r="F34" i="5"/>
  <c r="G33" i="5"/>
  <c r="F33" i="5"/>
  <c r="G32" i="5"/>
  <c r="F32" i="5"/>
  <c r="G31" i="5"/>
  <c r="F31" i="5"/>
  <c r="G30" i="5"/>
  <c r="F30" i="5"/>
  <c r="G29" i="5"/>
  <c r="F29" i="5"/>
  <c r="G28" i="5"/>
  <c r="F28" i="5"/>
  <c r="G27" i="5"/>
  <c r="F27" i="5"/>
  <c r="G26" i="5"/>
  <c r="F26" i="5"/>
  <c r="G25" i="5"/>
  <c r="F25" i="5"/>
  <c r="G24" i="5"/>
  <c r="F24" i="5"/>
  <c r="G23" i="5"/>
  <c r="F23" i="5"/>
  <c r="G22" i="5"/>
  <c r="F22" i="5"/>
  <c r="G21" i="5"/>
  <c r="F21" i="5"/>
  <c r="G20" i="5"/>
  <c r="F20" i="5"/>
  <c r="G19" i="5"/>
  <c r="F19" i="5"/>
  <c r="G18" i="5"/>
  <c r="F18" i="5"/>
  <c r="G17" i="5"/>
  <c r="F17" i="5"/>
  <c r="G16" i="5"/>
  <c r="F16" i="5"/>
  <c r="G15" i="5"/>
  <c r="F15" i="5"/>
  <c r="G14" i="5"/>
  <c r="F14" i="5"/>
  <c r="G13" i="5"/>
  <c r="F13" i="5"/>
  <c r="G12" i="5"/>
  <c r="F12" i="5"/>
  <c r="G8" i="5"/>
  <c r="G9" i="5"/>
  <c r="G10" i="5"/>
  <c r="G11" i="5"/>
  <c r="F8" i="5"/>
  <c r="F9" i="5"/>
  <c r="F10" i="5"/>
  <c r="F11" i="5"/>
  <c r="G5" i="5"/>
  <c r="G6" i="5"/>
  <c r="G7" i="5"/>
  <c r="F6" i="5"/>
  <c r="F7" i="5"/>
  <c r="F5" i="5"/>
  <c r="G3" i="5"/>
  <c r="G4" i="5"/>
  <c r="G2" i="5"/>
  <c r="F3" i="5"/>
  <c r="F4" i="5"/>
  <c r="F2" i="5"/>
  <c r="C273" i="3"/>
  <c r="D273" i="3"/>
  <c r="E273" i="3"/>
  <c r="F273" i="3"/>
  <c r="G273" i="3"/>
  <c r="H273" i="3"/>
  <c r="I273" i="3"/>
  <c r="J273" i="3"/>
  <c r="K273" i="3"/>
  <c r="L273" i="3"/>
  <c r="M273" i="3"/>
  <c r="N273" i="3"/>
  <c r="O273" i="3"/>
  <c r="P273" i="3"/>
  <c r="Q273" i="3"/>
  <c r="R273" i="3"/>
  <c r="S273" i="3"/>
  <c r="C272" i="3"/>
  <c r="D272" i="3"/>
  <c r="E272" i="3"/>
  <c r="F272" i="3"/>
  <c r="G272" i="3"/>
  <c r="H272" i="3"/>
  <c r="I272" i="3"/>
  <c r="J272" i="3"/>
  <c r="K272" i="3"/>
  <c r="L272" i="3"/>
  <c r="M272" i="3"/>
  <c r="N272" i="3"/>
  <c r="O272" i="3"/>
  <c r="P272" i="3"/>
  <c r="Q272" i="3"/>
  <c r="R272" i="3"/>
  <c r="S272" i="3"/>
  <c r="C271" i="3"/>
  <c r="D271" i="3"/>
  <c r="E271" i="3"/>
  <c r="F271" i="3"/>
  <c r="G271" i="3"/>
  <c r="H271" i="3"/>
  <c r="I271" i="3"/>
  <c r="J271" i="3"/>
  <c r="K271" i="3"/>
  <c r="L271" i="3"/>
  <c r="M271" i="3"/>
  <c r="N271" i="3"/>
  <c r="O271" i="3"/>
  <c r="P271" i="3"/>
  <c r="Q271" i="3"/>
  <c r="R271" i="3"/>
  <c r="S271" i="3"/>
  <c r="C269" i="3"/>
  <c r="D269" i="3"/>
  <c r="E269" i="3"/>
  <c r="F269" i="3"/>
  <c r="G269" i="3"/>
  <c r="H269" i="3"/>
  <c r="I269" i="3"/>
  <c r="J269" i="3"/>
  <c r="K269" i="3"/>
  <c r="L269" i="3"/>
  <c r="M269" i="3"/>
  <c r="N269" i="3"/>
  <c r="O269" i="3"/>
  <c r="P269" i="3"/>
  <c r="Q269" i="3"/>
  <c r="R269" i="3"/>
  <c r="S269" i="3"/>
  <c r="C268" i="3"/>
  <c r="D268" i="3"/>
  <c r="E268" i="3"/>
  <c r="F268" i="3"/>
  <c r="G268" i="3"/>
  <c r="H268" i="3"/>
  <c r="I268" i="3"/>
  <c r="J268" i="3"/>
  <c r="K268" i="3"/>
  <c r="L268" i="3"/>
  <c r="M268" i="3"/>
  <c r="N268" i="3"/>
  <c r="O268" i="3"/>
  <c r="P268" i="3"/>
  <c r="Q268" i="3"/>
  <c r="R268" i="3"/>
  <c r="S268" i="3"/>
  <c r="C267" i="3"/>
  <c r="D267" i="3"/>
  <c r="E267" i="3"/>
  <c r="F267" i="3"/>
  <c r="G267" i="3"/>
  <c r="H267" i="3"/>
  <c r="I267" i="3"/>
  <c r="J267" i="3"/>
  <c r="K267" i="3"/>
  <c r="L267" i="3"/>
  <c r="M267" i="3"/>
  <c r="N267" i="3"/>
  <c r="O267" i="3"/>
  <c r="P267" i="3"/>
  <c r="Q267" i="3"/>
  <c r="R267" i="3"/>
  <c r="S267" i="3"/>
  <c r="C265" i="3"/>
  <c r="D265" i="3"/>
  <c r="E265" i="3"/>
  <c r="F265" i="3"/>
  <c r="G265" i="3"/>
  <c r="H265" i="3"/>
  <c r="I265" i="3"/>
  <c r="J265" i="3"/>
  <c r="K265" i="3"/>
  <c r="L265" i="3"/>
  <c r="M265" i="3"/>
  <c r="N265" i="3"/>
  <c r="O265" i="3"/>
  <c r="P265" i="3"/>
  <c r="Q265" i="3"/>
  <c r="R265" i="3"/>
  <c r="S265" i="3"/>
  <c r="C264" i="3"/>
  <c r="D264" i="3"/>
  <c r="E264" i="3"/>
  <c r="F264" i="3"/>
  <c r="G264" i="3"/>
  <c r="H264" i="3"/>
  <c r="I264" i="3"/>
  <c r="J264" i="3"/>
  <c r="K264" i="3"/>
  <c r="L264" i="3"/>
  <c r="M264" i="3"/>
  <c r="N264" i="3"/>
  <c r="O264" i="3"/>
  <c r="P264" i="3"/>
  <c r="Q264" i="3"/>
  <c r="R264" i="3"/>
  <c r="S264" i="3"/>
  <c r="C263" i="3"/>
  <c r="D263" i="3"/>
  <c r="E263" i="3"/>
  <c r="F263" i="3"/>
  <c r="G263" i="3"/>
  <c r="H263" i="3"/>
  <c r="I263" i="3"/>
  <c r="J263" i="3"/>
  <c r="K263" i="3"/>
  <c r="L263" i="3"/>
  <c r="M263" i="3"/>
  <c r="N263" i="3"/>
  <c r="O263" i="3"/>
  <c r="P263" i="3"/>
  <c r="Q263" i="3"/>
  <c r="R263" i="3"/>
  <c r="S263" i="3"/>
  <c r="D261" i="3"/>
  <c r="E261" i="3"/>
  <c r="F261" i="3"/>
  <c r="G261" i="3"/>
  <c r="H261" i="3"/>
  <c r="I261" i="3"/>
  <c r="J261" i="3"/>
  <c r="K261" i="3"/>
  <c r="L261" i="3"/>
  <c r="M261" i="3"/>
  <c r="N261" i="3"/>
  <c r="O261" i="3"/>
  <c r="P261" i="3"/>
  <c r="Q261" i="3"/>
  <c r="R261" i="3"/>
  <c r="S261" i="3"/>
  <c r="C259" i="3"/>
  <c r="D259" i="3"/>
  <c r="E259" i="3"/>
  <c r="F259" i="3"/>
  <c r="G259" i="3"/>
  <c r="H259" i="3"/>
  <c r="I259" i="3"/>
  <c r="J259" i="3"/>
  <c r="K259" i="3"/>
  <c r="L259" i="3"/>
  <c r="M259" i="3"/>
  <c r="N259" i="3"/>
  <c r="O259" i="3"/>
  <c r="P259" i="3"/>
  <c r="Q259" i="3"/>
  <c r="R259" i="3"/>
  <c r="S259" i="3"/>
  <c r="C258" i="3"/>
  <c r="D258" i="3"/>
  <c r="E258" i="3"/>
  <c r="F258" i="3"/>
  <c r="G258" i="3"/>
  <c r="H258" i="3"/>
  <c r="I258" i="3"/>
  <c r="J258" i="3"/>
  <c r="K258" i="3"/>
  <c r="L258" i="3"/>
  <c r="M258" i="3"/>
  <c r="N258" i="3"/>
  <c r="O258" i="3"/>
  <c r="P258" i="3"/>
  <c r="Q258" i="3"/>
  <c r="R258" i="3"/>
  <c r="S258" i="3"/>
  <c r="C257" i="3"/>
  <c r="D257" i="3"/>
  <c r="E257" i="3"/>
  <c r="F257" i="3"/>
  <c r="G257" i="3"/>
  <c r="H257" i="3"/>
  <c r="I257" i="3"/>
  <c r="J257" i="3"/>
  <c r="K257" i="3"/>
  <c r="L257" i="3"/>
  <c r="M257" i="3"/>
  <c r="N257" i="3"/>
  <c r="O257" i="3"/>
  <c r="P257" i="3"/>
  <c r="Q257" i="3"/>
  <c r="R257" i="3"/>
  <c r="S257" i="3"/>
  <c r="C255" i="3"/>
  <c r="D255" i="3"/>
  <c r="E255" i="3"/>
  <c r="F255" i="3"/>
  <c r="G255" i="3"/>
  <c r="H255" i="3"/>
  <c r="I255" i="3"/>
  <c r="J255" i="3"/>
  <c r="K255" i="3"/>
  <c r="L255" i="3"/>
  <c r="M255" i="3"/>
  <c r="N255" i="3"/>
  <c r="O255" i="3"/>
  <c r="P255" i="3"/>
  <c r="Q255" i="3"/>
  <c r="R255" i="3"/>
  <c r="S255" i="3"/>
  <c r="C254" i="3"/>
  <c r="D254" i="3"/>
  <c r="E254" i="3"/>
  <c r="F254" i="3"/>
  <c r="G254" i="3"/>
  <c r="H254" i="3"/>
  <c r="I254" i="3"/>
  <c r="J254" i="3"/>
  <c r="K254" i="3"/>
  <c r="L254" i="3"/>
  <c r="M254" i="3"/>
  <c r="N254" i="3"/>
  <c r="O254" i="3"/>
  <c r="P254" i="3"/>
  <c r="Q254" i="3"/>
  <c r="R254" i="3"/>
  <c r="S254" i="3"/>
  <c r="C253" i="3"/>
  <c r="D253" i="3"/>
  <c r="E253" i="3"/>
  <c r="F253" i="3"/>
  <c r="G253" i="3"/>
  <c r="H253" i="3"/>
  <c r="I253" i="3"/>
  <c r="J253" i="3"/>
  <c r="K253" i="3"/>
  <c r="L253" i="3"/>
  <c r="M253" i="3"/>
  <c r="N253" i="3"/>
  <c r="O253" i="3"/>
  <c r="P253" i="3"/>
  <c r="Q253" i="3"/>
  <c r="R253" i="3"/>
  <c r="S253" i="3"/>
  <c r="C261" i="3"/>
  <c r="B261" i="3"/>
  <c r="B273" i="3"/>
  <c r="B272" i="3"/>
  <c r="B271" i="3"/>
  <c r="B269" i="3"/>
  <c r="B268" i="3"/>
  <c r="B267" i="3"/>
  <c r="B265" i="3"/>
  <c r="B264" i="3"/>
  <c r="B263" i="3"/>
  <c r="B259" i="3"/>
  <c r="B258" i="3"/>
  <c r="B257" i="3"/>
  <c r="B255" i="3"/>
  <c r="B254" i="3"/>
  <c r="B253" i="3"/>
  <c r="C251" i="3"/>
  <c r="D251" i="3"/>
  <c r="E251" i="3"/>
  <c r="F251" i="3"/>
  <c r="G251" i="3"/>
  <c r="H251" i="3"/>
  <c r="I251" i="3"/>
  <c r="J251" i="3"/>
  <c r="K251" i="3"/>
  <c r="L251" i="3"/>
  <c r="M251" i="3"/>
  <c r="N251" i="3"/>
  <c r="O251" i="3"/>
  <c r="P251" i="3"/>
  <c r="Q251" i="3"/>
  <c r="R251" i="3"/>
  <c r="S251" i="3"/>
  <c r="D249" i="3"/>
  <c r="E249" i="3"/>
  <c r="F249" i="3"/>
  <c r="G249" i="3"/>
  <c r="H249" i="3"/>
  <c r="I249" i="3"/>
  <c r="J249" i="3"/>
  <c r="K249" i="3"/>
  <c r="L249" i="3"/>
  <c r="M249" i="3"/>
  <c r="N249" i="3"/>
  <c r="O249" i="3"/>
  <c r="P249" i="3"/>
  <c r="Q249" i="3"/>
  <c r="R249" i="3"/>
  <c r="S249" i="3"/>
  <c r="C247" i="3"/>
  <c r="D247" i="3"/>
  <c r="E247" i="3"/>
  <c r="F247" i="3"/>
  <c r="G247" i="3"/>
  <c r="H247" i="3"/>
  <c r="I247" i="3"/>
  <c r="J247" i="3"/>
  <c r="K247" i="3"/>
  <c r="L247" i="3"/>
  <c r="M247" i="3"/>
  <c r="N247" i="3"/>
  <c r="O247" i="3"/>
  <c r="P247" i="3"/>
  <c r="Q247" i="3"/>
  <c r="R247" i="3"/>
  <c r="S247" i="3"/>
  <c r="C246" i="3"/>
  <c r="D246" i="3"/>
  <c r="E246" i="3"/>
  <c r="F246" i="3"/>
  <c r="G246" i="3"/>
  <c r="H246" i="3"/>
  <c r="I246" i="3"/>
  <c r="J246" i="3"/>
  <c r="K246" i="3"/>
  <c r="L246" i="3"/>
  <c r="M246" i="3"/>
  <c r="N246" i="3"/>
  <c r="O246" i="3"/>
  <c r="P246" i="3"/>
  <c r="Q246" i="3"/>
  <c r="R246" i="3"/>
  <c r="S246" i="3"/>
  <c r="C245" i="3"/>
  <c r="D245" i="3"/>
  <c r="E245" i="3"/>
  <c r="F245" i="3"/>
  <c r="G245" i="3"/>
  <c r="H245" i="3"/>
  <c r="I245" i="3"/>
  <c r="J245" i="3"/>
  <c r="K245" i="3"/>
  <c r="L245" i="3"/>
  <c r="M245" i="3"/>
  <c r="N245" i="3"/>
  <c r="O245" i="3"/>
  <c r="P245" i="3"/>
  <c r="Q245" i="3"/>
  <c r="R245" i="3"/>
  <c r="S245" i="3"/>
  <c r="C243" i="3"/>
  <c r="D243" i="3"/>
  <c r="E243" i="3"/>
  <c r="F243" i="3"/>
  <c r="G243" i="3"/>
  <c r="H243" i="3"/>
  <c r="I243" i="3"/>
  <c r="J243" i="3"/>
  <c r="K243" i="3"/>
  <c r="L243" i="3"/>
  <c r="M243" i="3"/>
  <c r="N243" i="3"/>
  <c r="O243" i="3"/>
  <c r="P243" i="3"/>
  <c r="Q243" i="3"/>
  <c r="R243" i="3"/>
  <c r="S243" i="3"/>
  <c r="C242" i="3"/>
  <c r="D242" i="3"/>
  <c r="E242" i="3"/>
  <c r="F242" i="3"/>
  <c r="G242" i="3"/>
  <c r="H242" i="3"/>
  <c r="I242" i="3"/>
  <c r="J242" i="3"/>
  <c r="K242" i="3"/>
  <c r="L242" i="3"/>
  <c r="M242" i="3"/>
  <c r="N242" i="3"/>
  <c r="O242" i="3"/>
  <c r="P242" i="3"/>
  <c r="Q242" i="3"/>
  <c r="R242" i="3"/>
  <c r="S242" i="3"/>
  <c r="C241" i="3"/>
  <c r="D241" i="3"/>
  <c r="E241" i="3"/>
  <c r="F241" i="3"/>
  <c r="G241" i="3"/>
  <c r="H241" i="3"/>
  <c r="I241" i="3"/>
  <c r="J241" i="3"/>
  <c r="K241" i="3"/>
  <c r="L241" i="3"/>
  <c r="M241" i="3"/>
  <c r="N241" i="3"/>
  <c r="O241" i="3"/>
  <c r="P241" i="3"/>
  <c r="Q241" i="3"/>
  <c r="R241" i="3"/>
  <c r="S241" i="3"/>
  <c r="B251" i="3"/>
  <c r="C249" i="3"/>
  <c r="B249" i="3"/>
  <c r="B247" i="3"/>
  <c r="B246" i="3"/>
  <c r="B245" i="3"/>
  <c r="B243" i="3"/>
  <c r="B242" i="3"/>
  <c r="B241" i="3"/>
  <c r="C239" i="3"/>
  <c r="D239" i="3"/>
  <c r="E239" i="3"/>
  <c r="F239" i="3"/>
  <c r="G239" i="3"/>
  <c r="H239" i="3"/>
  <c r="I239" i="3"/>
  <c r="J239" i="3"/>
  <c r="K239" i="3"/>
  <c r="L239" i="3"/>
  <c r="M239" i="3"/>
  <c r="N239" i="3"/>
  <c r="O239" i="3"/>
  <c r="P239" i="3"/>
  <c r="Q239" i="3"/>
  <c r="R239" i="3"/>
  <c r="S239" i="3"/>
  <c r="C238" i="3"/>
  <c r="D238" i="3"/>
  <c r="E238" i="3"/>
  <c r="F238" i="3"/>
  <c r="G238" i="3"/>
  <c r="H238" i="3"/>
  <c r="I238" i="3"/>
  <c r="J238" i="3"/>
  <c r="K238" i="3"/>
  <c r="L238" i="3"/>
  <c r="M238" i="3"/>
  <c r="N238" i="3"/>
  <c r="O238" i="3"/>
  <c r="P238" i="3"/>
  <c r="Q238" i="3"/>
  <c r="R238" i="3"/>
  <c r="S238" i="3"/>
  <c r="C237" i="3"/>
  <c r="D237" i="3"/>
  <c r="E237" i="3"/>
  <c r="F237" i="3"/>
  <c r="G237" i="3"/>
  <c r="H237" i="3"/>
  <c r="I237" i="3"/>
  <c r="J237" i="3"/>
  <c r="K237" i="3"/>
  <c r="L237" i="3"/>
  <c r="M237" i="3"/>
  <c r="N237" i="3"/>
  <c r="O237" i="3"/>
  <c r="P237" i="3"/>
  <c r="Q237" i="3"/>
  <c r="R237" i="3"/>
  <c r="S237" i="3"/>
  <c r="D235" i="3"/>
  <c r="E235" i="3"/>
  <c r="F235" i="3"/>
  <c r="G235" i="3"/>
  <c r="H235" i="3"/>
  <c r="I235" i="3"/>
  <c r="J235" i="3"/>
  <c r="K235" i="3"/>
  <c r="L235" i="3"/>
  <c r="M235" i="3"/>
  <c r="N235" i="3"/>
  <c r="O235" i="3"/>
  <c r="P235" i="3"/>
  <c r="Q235" i="3"/>
  <c r="R235" i="3"/>
  <c r="S235" i="3"/>
  <c r="C235" i="3"/>
  <c r="B235" i="3"/>
  <c r="C233" i="3"/>
  <c r="D233" i="3"/>
  <c r="E233" i="3"/>
  <c r="F233" i="3"/>
  <c r="G233" i="3"/>
  <c r="H233" i="3"/>
  <c r="I233" i="3"/>
  <c r="J233" i="3"/>
  <c r="K233" i="3"/>
  <c r="L233" i="3"/>
  <c r="M233" i="3"/>
  <c r="N233" i="3"/>
  <c r="O233" i="3"/>
  <c r="P233" i="3"/>
  <c r="Q233" i="3"/>
  <c r="R233" i="3"/>
  <c r="S233" i="3"/>
  <c r="C232" i="3"/>
  <c r="D232" i="3"/>
  <c r="E232" i="3"/>
  <c r="F232" i="3"/>
  <c r="G232" i="3"/>
  <c r="H232" i="3"/>
  <c r="I232" i="3"/>
  <c r="J232" i="3"/>
  <c r="K232" i="3"/>
  <c r="L232" i="3"/>
  <c r="M232" i="3"/>
  <c r="N232" i="3"/>
  <c r="O232" i="3"/>
  <c r="P232" i="3"/>
  <c r="Q232" i="3"/>
  <c r="R232" i="3"/>
  <c r="S232" i="3"/>
  <c r="C231" i="3"/>
  <c r="D231" i="3"/>
  <c r="E231" i="3"/>
  <c r="F231" i="3"/>
  <c r="G231" i="3"/>
  <c r="H231" i="3"/>
  <c r="I231" i="3"/>
  <c r="J231" i="3"/>
  <c r="K231" i="3"/>
  <c r="L231" i="3"/>
  <c r="M231" i="3"/>
  <c r="N231" i="3"/>
  <c r="O231" i="3"/>
  <c r="P231" i="3"/>
  <c r="Q231" i="3"/>
  <c r="R231" i="3"/>
  <c r="S231" i="3"/>
  <c r="C229" i="3"/>
  <c r="D229" i="3"/>
  <c r="E229" i="3"/>
  <c r="F229" i="3"/>
  <c r="G229" i="3"/>
  <c r="H229" i="3"/>
  <c r="I229" i="3"/>
  <c r="J229" i="3"/>
  <c r="K229" i="3"/>
  <c r="L229" i="3"/>
  <c r="M229" i="3"/>
  <c r="N229" i="3"/>
  <c r="O229" i="3"/>
  <c r="P229" i="3"/>
  <c r="Q229" i="3"/>
  <c r="R229" i="3"/>
  <c r="S229" i="3"/>
  <c r="C228" i="3"/>
  <c r="D228" i="3"/>
  <c r="E228" i="3"/>
  <c r="F228" i="3"/>
  <c r="G228" i="3"/>
  <c r="H228" i="3"/>
  <c r="I228" i="3"/>
  <c r="J228" i="3"/>
  <c r="K228" i="3"/>
  <c r="L228" i="3"/>
  <c r="M228" i="3"/>
  <c r="N228" i="3"/>
  <c r="O228" i="3"/>
  <c r="P228" i="3"/>
  <c r="Q228" i="3"/>
  <c r="R228" i="3"/>
  <c r="S228" i="3"/>
  <c r="C227" i="3"/>
  <c r="D227" i="3"/>
  <c r="E227" i="3"/>
  <c r="F227" i="3"/>
  <c r="G227" i="3"/>
  <c r="H227" i="3"/>
  <c r="I227" i="3"/>
  <c r="J227" i="3"/>
  <c r="K227" i="3"/>
  <c r="L227" i="3"/>
  <c r="M227" i="3"/>
  <c r="N227" i="3"/>
  <c r="O227" i="3"/>
  <c r="P227" i="3"/>
  <c r="Q227" i="3"/>
  <c r="R227" i="3"/>
  <c r="S227" i="3"/>
  <c r="C225" i="3"/>
  <c r="D225" i="3"/>
  <c r="E225" i="3"/>
  <c r="F225" i="3"/>
  <c r="G225" i="3"/>
  <c r="H225" i="3"/>
  <c r="I225" i="3"/>
  <c r="J225" i="3"/>
  <c r="K225" i="3"/>
  <c r="L225" i="3"/>
  <c r="M225" i="3"/>
  <c r="N225" i="3"/>
  <c r="O225" i="3"/>
  <c r="P225" i="3"/>
  <c r="Q225" i="3"/>
  <c r="R225" i="3"/>
  <c r="S225" i="3"/>
  <c r="C224" i="3"/>
  <c r="D224" i="3"/>
  <c r="E224" i="3"/>
  <c r="F224" i="3"/>
  <c r="G224" i="3"/>
  <c r="H224" i="3"/>
  <c r="I224" i="3"/>
  <c r="J224" i="3"/>
  <c r="K224" i="3"/>
  <c r="L224" i="3"/>
  <c r="M224" i="3"/>
  <c r="N224" i="3"/>
  <c r="O224" i="3"/>
  <c r="P224" i="3"/>
  <c r="Q224" i="3"/>
  <c r="R224" i="3"/>
  <c r="S224" i="3"/>
  <c r="C223" i="3"/>
  <c r="D223" i="3"/>
  <c r="E223" i="3"/>
  <c r="F223" i="3"/>
  <c r="G223" i="3"/>
  <c r="H223" i="3"/>
  <c r="I223" i="3"/>
  <c r="J223" i="3"/>
  <c r="K223" i="3"/>
  <c r="L223" i="3"/>
  <c r="M223" i="3"/>
  <c r="N223" i="3"/>
  <c r="O223" i="3"/>
  <c r="P223" i="3"/>
  <c r="Q223" i="3"/>
  <c r="R223" i="3"/>
  <c r="S223" i="3"/>
  <c r="C221" i="3"/>
  <c r="D221" i="3"/>
  <c r="E221" i="3"/>
  <c r="F221" i="3"/>
  <c r="G221" i="3"/>
  <c r="H221" i="3"/>
  <c r="I221" i="3"/>
  <c r="J221" i="3"/>
  <c r="K221" i="3"/>
  <c r="L221" i="3"/>
  <c r="M221" i="3"/>
  <c r="N221" i="3"/>
  <c r="O221" i="3"/>
  <c r="P221" i="3"/>
  <c r="Q221" i="3"/>
  <c r="R221" i="3"/>
  <c r="S221" i="3"/>
  <c r="C220" i="3"/>
  <c r="D220" i="3"/>
  <c r="E220" i="3"/>
  <c r="F220" i="3"/>
  <c r="G220" i="3"/>
  <c r="H220" i="3"/>
  <c r="I220" i="3"/>
  <c r="J220" i="3"/>
  <c r="K220" i="3"/>
  <c r="L220" i="3"/>
  <c r="M220" i="3"/>
  <c r="N220" i="3"/>
  <c r="O220" i="3"/>
  <c r="P220" i="3"/>
  <c r="Q220" i="3"/>
  <c r="R220" i="3"/>
  <c r="S220" i="3"/>
  <c r="C219" i="3"/>
  <c r="D219" i="3"/>
  <c r="E219" i="3"/>
  <c r="F219" i="3"/>
  <c r="G219" i="3"/>
  <c r="H219" i="3"/>
  <c r="I219" i="3"/>
  <c r="J219" i="3"/>
  <c r="K219" i="3"/>
  <c r="L219" i="3"/>
  <c r="M219" i="3"/>
  <c r="N219" i="3"/>
  <c r="O219" i="3"/>
  <c r="P219" i="3"/>
  <c r="Q219" i="3"/>
  <c r="R219" i="3"/>
  <c r="S219" i="3"/>
  <c r="C217" i="3"/>
  <c r="D217" i="3"/>
  <c r="E217" i="3"/>
  <c r="F217" i="3"/>
  <c r="G217" i="3"/>
  <c r="H217" i="3"/>
  <c r="I217" i="3"/>
  <c r="J217" i="3"/>
  <c r="K217" i="3"/>
  <c r="L217" i="3"/>
  <c r="M217" i="3"/>
  <c r="N217" i="3"/>
  <c r="O217" i="3"/>
  <c r="P217" i="3"/>
  <c r="Q217" i="3"/>
  <c r="R217" i="3"/>
  <c r="S217" i="3"/>
  <c r="C216" i="3"/>
  <c r="D216" i="3"/>
  <c r="E216" i="3"/>
  <c r="F216" i="3"/>
  <c r="G216" i="3"/>
  <c r="H216" i="3"/>
  <c r="I216" i="3"/>
  <c r="J216" i="3"/>
  <c r="K216" i="3"/>
  <c r="L216" i="3"/>
  <c r="M216" i="3"/>
  <c r="N216" i="3"/>
  <c r="O216" i="3"/>
  <c r="P216" i="3"/>
  <c r="Q216" i="3"/>
  <c r="R216" i="3"/>
  <c r="S216" i="3"/>
  <c r="S215" i="3"/>
  <c r="C215" i="3"/>
  <c r="D215" i="3"/>
  <c r="E215" i="3"/>
  <c r="F215" i="3"/>
  <c r="G215" i="3"/>
  <c r="H215" i="3"/>
  <c r="I215" i="3"/>
  <c r="J215" i="3"/>
  <c r="K215" i="3"/>
  <c r="L215" i="3"/>
  <c r="M215" i="3"/>
  <c r="N215" i="3"/>
  <c r="O215" i="3"/>
  <c r="P215" i="3"/>
  <c r="Q215" i="3"/>
  <c r="R215" i="3"/>
  <c r="C213" i="3"/>
  <c r="D213" i="3"/>
  <c r="E213" i="3"/>
  <c r="F213" i="3"/>
  <c r="G213" i="3"/>
  <c r="H213" i="3"/>
  <c r="I213" i="3"/>
  <c r="J213" i="3"/>
  <c r="K213" i="3"/>
  <c r="L213" i="3"/>
  <c r="M213" i="3"/>
  <c r="N213" i="3"/>
  <c r="O213" i="3"/>
  <c r="P213" i="3"/>
  <c r="Q213" i="3"/>
  <c r="R213" i="3"/>
  <c r="S213" i="3"/>
  <c r="C212" i="3"/>
  <c r="D212" i="3"/>
  <c r="E212" i="3"/>
  <c r="F212" i="3"/>
  <c r="G212" i="3"/>
  <c r="H212" i="3"/>
  <c r="I212" i="3"/>
  <c r="J212" i="3"/>
  <c r="K212" i="3"/>
  <c r="L212" i="3"/>
  <c r="M212" i="3"/>
  <c r="N212" i="3"/>
  <c r="O212" i="3"/>
  <c r="P212" i="3"/>
  <c r="Q212" i="3"/>
  <c r="R212" i="3"/>
  <c r="S212" i="3"/>
  <c r="C211" i="3"/>
  <c r="D211" i="3"/>
  <c r="E211" i="3"/>
  <c r="F211" i="3"/>
  <c r="G211" i="3"/>
  <c r="H211" i="3"/>
  <c r="I211" i="3"/>
  <c r="J211" i="3"/>
  <c r="K211" i="3"/>
  <c r="L211" i="3"/>
  <c r="M211" i="3"/>
  <c r="N211" i="3"/>
  <c r="O211" i="3"/>
  <c r="P211" i="3"/>
  <c r="Q211" i="3"/>
  <c r="R211" i="3"/>
  <c r="S211" i="3"/>
  <c r="C209" i="3"/>
  <c r="D209" i="3"/>
  <c r="E209" i="3"/>
  <c r="F209" i="3"/>
  <c r="G209" i="3"/>
  <c r="H209" i="3"/>
  <c r="I209" i="3"/>
  <c r="J209" i="3"/>
  <c r="K209" i="3"/>
  <c r="L209" i="3"/>
  <c r="M209" i="3"/>
  <c r="N209" i="3"/>
  <c r="O209" i="3"/>
  <c r="P209" i="3"/>
  <c r="Q209" i="3"/>
  <c r="R209" i="3"/>
  <c r="S209" i="3"/>
  <c r="C208" i="3"/>
  <c r="D208" i="3"/>
  <c r="E208" i="3"/>
  <c r="F208" i="3"/>
  <c r="G208" i="3"/>
  <c r="H208" i="3"/>
  <c r="I208" i="3"/>
  <c r="J208" i="3"/>
  <c r="K208" i="3"/>
  <c r="L208" i="3"/>
  <c r="M208" i="3"/>
  <c r="N208" i="3"/>
  <c r="O208" i="3"/>
  <c r="P208" i="3"/>
  <c r="Q208" i="3"/>
  <c r="R208" i="3"/>
  <c r="S208" i="3"/>
  <c r="C207" i="3"/>
  <c r="D207" i="3"/>
  <c r="E207" i="3"/>
  <c r="F207" i="3"/>
  <c r="G207" i="3"/>
  <c r="H207" i="3"/>
  <c r="I207" i="3"/>
  <c r="J207" i="3"/>
  <c r="K207" i="3"/>
  <c r="L207" i="3"/>
  <c r="M207" i="3"/>
  <c r="N207" i="3"/>
  <c r="O207" i="3"/>
  <c r="P207" i="3"/>
  <c r="Q207" i="3"/>
  <c r="R207" i="3"/>
  <c r="S207" i="3"/>
  <c r="C205" i="3"/>
  <c r="D205" i="3"/>
  <c r="E205" i="3"/>
  <c r="F205" i="3"/>
  <c r="G205" i="3"/>
  <c r="H205" i="3"/>
  <c r="I205" i="3"/>
  <c r="J205" i="3"/>
  <c r="K205" i="3"/>
  <c r="L205" i="3"/>
  <c r="M205" i="3"/>
  <c r="N205" i="3"/>
  <c r="O205" i="3"/>
  <c r="P205" i="3"/>
  <c r="Q205" i="3"/>
  <c r="R205" i="3"/>
  <c r="S205" i="3"/>
  <c r="C204" i="3"/>
  <c r="D204" i="3"/>
  <c r="E204" i="3"/>
  <c r="F204" i="3"/>
  <c r="G204" i="3"/>
  <c r="H204" i="3"/>
  <c r="I204" i="3"/>
  <c r="J204" i="3"/>
  <c r="K204" i="3"/>
  <c r="L204" i="3"/>
  <c r="M204" i="3"/>
  <c r="N204" i="3"/>
  <c r="O204" i="3"/>
  <c r="P204" i="3"/>
  <c r="Q204" i="3"/>
  <c r="R204" i="3"/>
  <c r="S204" i="3"/>
  <c r="C203" i="3"/>
  <c r="D203" i="3"/>
  <c r="E203" i="3"/>
  <c r="F203" i="3"/>
  <c r="G203" i="3"/>
  <c r="H203" i="3"/>
  <c r="I203" i="3"/>
  <c r="J203" i="3"/>
  <c r="K203" i="3"/>
  <c r="L203" i="3"/>
  <c r="M203" i="3"/>
  <c r="N203" i="3"/>
  <c r="O203" i="3"/>
  <c r="P203" i="3"/>
  <c r="Q203" i="3"/>
  <c r="R203" i="3"/>
  <c r="S203" i="3"/>
  <c r="B239" i="3"/>
  <c r="B238" i="3"/>
  <c r="B237" i="3"/>
  <c r="B233" i="3"/>
  <c r="B232" i="3"/>
  <c r="B231" i="3"/>
  <c r="B229" i="3"/>
  <c r="B228" i="3"/>
  <c r="B227" i="3"/>
  <c r="B225" i="3"/>
  <c r="B224" i="3"/>
  <c r="B223" i="3"/>
  <c r="B221" i="3"/>
  <c r="B220" i="3"/>
  <c r="B219" i="3"/>
  <c r="B217" i="3"/>
  <c r="B216" i="3"/>
  <c r="B215" i="3"/>
  <c r="B213" i="3"/>
  <c r="B212" i="3"/>
  <c r="B211" i="3"/>
  <c r="B209" i="3"/>
  <c r="B208" i="3"/>
  <c r="B207" i="3"/>
  <c r="B204" i="3"/>
  <c r="B203" i="3"/>
  <c r="B205" i="3"/>
  <c r="C181" i="3"/>
  <c r="D181" i="3"/>
  <c r="E181" i="3"/>
  <c r="F181" i="3"/>
  <c r="G181" i="3"/>
  <c r="H181" i="3"/>
  <c r="I181" i="3"/>
  <c r="J181" i="3"/>
  <c r="K181" i="3"/>
  <c r="L181" i="3"/>
  <c r="M181" i="3"/>
  <c r="N181" i="3"/>
  <c r="O181" i="3"/>
  <c r="P181" i="3"/>
  <c r="Q181" i="3"/>
  <c r="R181" i="3"/>
  <c r="S181" i="3"/>
  <c r="C180" i="3"/>
  <c r="D180" i="3"/>
  <c r="E180" i="3"/>
  <c r="F180" i="3"/>
  <c r="G180" i="3"/>
  <c r="H180" i="3"/>
  <c r="I180" i="3"/>
  <c r="J180" i="3"/>
  <c r="K180" i="3"/>
  <c r="L180" i="3"/>
  <c r="M180" i="3"/>
  <c r="N180" i="3"/>
  <c r="O180" i="3"/>
  <c r="P180" i="3"/>
  <c r="Q180" i="3"/>
  <c r="R180" i="3"/>
  <c r="S180" i="3"/>
  <c r="C179" i="3"/>
  <c r="D179" i="3"/>
  <c r="E179" i="3"/>
  <c r="F179" i="3"/>
  <c r="G179" i="3"/>
  <c r="H179" i="3"/>
  <c r="I179" i="3"/>
  <c r="J179" i="3"/>
  <c r="K179" i="3"/>
  <c r="L179" i="3"/>
  <c r="M179" i="3"/>
  <c r="N179" i="3"/>
  <c r="O179" i="3"/>
  <c r="P179" i="3"/>
  <c r="Q179" i="3"/>
  <c r="R179" i="3"/>
  <c r="S179" i="3"/>
  <c r="C177" i="3"/>
  <c r="D177" i="3"/>
  <c r="E177" i="3"/>
  <c r="F177" i="3"/>
  <c r="G177" i="3"/>
  <c r="H177" i="3"/>
  <c r="I177" i="3"/>
  <c r="J177" i="3"/>
  <c r="K177" i="3"/>
  <c r="L177" i="3"/>
  <c r="M177" i="3"/>
  <c r="N177" i="3"/>
  <c r="O177" i="3"/>
  <c r="P177" i="3"/>
  <c r="Q177" i="3"/>
  <c r="R177" i="3"/>
  <c r="S177" i="3"/>
  <c r="C176" i="3"/>
  <c r="D176" i="3"/>
  <c r="E176" i="3"/>
  <c r="F176" i="3"/>
  <c r="G176" i="3"/>
  <c r="H176" i="3"/>
  <c r="I176" i="3"/>
  <c r="J176" i="3"/>
  <c r="K176" i="3"/>
  <c r="L176" i="3"/>
  <c r="M176" i="3"/>
  <c r="N176" i="3"/>
  <c r="O176" i="3"/>
  <c r="P176" i="3"/>
  <c r="Q176" i="3"/>
  <c r="R176" i="3"/>
  <c r="S176" i="3"/>
  <c r="C175" i="3"/>
  <c r="D175" i="3"/>
  <c r="E175" i="3"/>
  <c r="F175" i="3"/>
  <c r="G175" i="3"/>
  <c r="H175" i="3"/>
  <c r="I175" i="3"/>
  <c r="J175" i="3"/>
  <c r="K175" i="3"/>
  <c r="L175" i="3"/>
  <c r="M175" i="3"/>
  <c r="N175" i="3"/>
  <c r="O175" i="3"/>
  <c r="P175" i="3"/>
  <c r="Q175" i="3"/>
  <c r="R175" i="3"/>
  <c r="S175" i="3"/>
  <c r="C173" i="3"/>
  <c r="D173" i="3"/>
  <c r="E173" i="3"/>
  <c r="F173" i="3"/>
  <c r="G173" i="3"/>
  <c r="H173" i="3"/>
  <c r="I173" i="3"/>
  <c r="J173" i="3"/>
  <c r="K173" i="3"/>
  <c r="L173" i="3"/>
  <c r="M173" i="3"/>
  <c r="N173" i="3"/>
  <c r="O173" i="3"/>
  <c r="P173" i="3"/>
  <c r="Q173" i="3"/>
  <c r="R173" i="3"/>
  <c r="S173" i="3"/>
  <c r="C172" i="3"/>
  <c r="D172" i="3"/>
  <c r="E172" i="3"/>
  <c r="F172" i="3"/>
  <c r="G172" i="3"/>
  <c r="H172" i="3"/>
  <c r="I172" i="3"/>
  <c r="J172" i="3"/>
  <c r="K172" i="3"/>
  <c r="L172" i="3"/>
  <c r="M172" i="3"/>
  <c r="N172" i="3"/>
  <c r="O172" i="3"/>
  <c r="P172" i="3"/>
  <c r="Q172" i="3"/>
  <c r="R172" i="3"/>
  <c r="S172" i="3"/>
  <c r="C171" i="3"/>
  <c r="D171" i="3"/>
  <c r="E171" i="3"/>
  <c r="F171" i="3"/>
  <c r="G171" i="3"/>
  <c r="H171" i="3"/>
  <c r="I171" i="3"/>
  <c r="J171" i="3"/>
  <c r="K171" i="3"/>
  <c r="L171" i="3"/>
  <c r="M171" i="3"/>
  <c r="N171" i="3"/>
  <c r="O171" i="3"/>
  <c r="P171" i="3"/>
  <c r="Q171" i="3"/>
  <c r="R171" i="3"/>
  <c r="S171" i="3"/>
  <c r="C185" i="3"/>
  <c r="D185" i="3"/>
  <c r="E185" i="3"/>
  <c r="F185" i="3"/>
  <c r="G185" i="3"/>
  <c r="H185" i="3"/>
  <c r="I185" i="3"/>
  <c r="J185" i="3"/>
  <c r="K185" i="3"/>
  <c r="L185" i="3"/>
  <c r="M185" i="3"/>
  <c r="N185" i="3"/>
  <c r="O185" i="3"/>
  <c r="P185" i="3"/>
  <c r="Q185" i="3"/>
  <c r="R185" i="3"/>
  <c r="S185" i="3"/>
  <c r="C184" i="3"/>
  <c r="D184" i="3"/>
  <c r="E184" i="3"/>
  <c r="F184" i="3"/>
  <c r="G184" i="3"/>
  <c r="H184" i="3"/>
  <c r="I184" i="3"/>
  <c r="J184" i="3"/>
  <c r="K184" i="3"/>
  <c r="L184" i="3"/>
  <c r="M184" i="3"/>
  <c r="N184" i="3"/>
  <c r="O184" i="3"/>
  <c r="P184" i="3"/>
  <c r="Q184" i="3"/>
  <c r="R184" i="3"/>
  <c r="S184" i="3"/>
  <c r="C183" i="3"/>
  <c r="D183" i="3"/>
  <c r="E183" i="3"/>
  <c r="F183" i="3"/>
  <c r="G183" i="3"/>
  <c r="H183" i="3"/>
  <c r="I183" i="3"/>
  <c r="J183" i="3"/>
  <c r="K183" i="3"/>
  <c r="L183" i="3"/>
  <c r="M183" i="3"/>
  <c r="N183" i="3"/>
  <c r="O183" i="3"/>
  <c r="P183" i="3"/>
  <c r="Q183" i="3"/>
  <c r="R183" i="3"/>
  <c r="S183" i="3"/>
  <c r="C189" i="3"/>
  <c r="D189" i="3"/>
  <c r="E189" i="3"/>
  <c r="F189" i="3"/>
  <c r="G189" i="3"/>
  <c r="H189" i="3"/>
  <c r="I189" i="3"/>
  <c r="J189" i="3"/>
  <c r="K189" i="3"/>
  <c r="L189" i="3"/>
  <c r="M189" i="3"/>
  <c r="N189" i="3"/>
  <c r="O189" i="3"/>
  <c r="P189" i="3"/>
  <c r="Q189" i="3"/>
  <c r="R189" i="3"/>
  <c r="S189" i="3"/>
  <c r="C188" i="3"/>
  <c r="D188" i="3"/>
  <c r="E188" i="3"/>
  <c r="F188" i="3"/>
  <c r="G188" i="3"/>
  <c r="H188" i="3"/>
  <c r="I188" i="3"/>
  <c r="J188" i="3"/>
  <c r="K188" i="3"/>
  <c r="L188" i="3"/>
  <c r="M188" i="3"/>
  <c r="N188" i="3"/>
  <c r="O188" i="3"/>
  <c r="P188" i="3"/>
  <c r="Q188" i="3"/>
  <c r="R188" i="3"/>
  <c r="S188" i="3"/>
  <c r="C187" i="3"/>
  <c r="D187" i="3"/>
  <c r="E187" i="3"/>
  <c r="F187" i="3"/>
  <c r="G187" i="3"/>
  <c r="H187" i="3"/>
  <c r="I187" i="3"/>
  <c r="J187" i="3"/>
  <c r="K187" i="3"/>
  <c r="L187" i="3"/>
  <c r="M187" i="3"/>
  <c r="N187" i="3"/>
  <c r="O187" i="3"/>
  <c r="P187" i="3"/>
  <c r="Q187" i="3"/>
  <c r="R187" i="3"/>
  <c r="S187" i="3"/>
  <c r="C193" i="3"/>
  <c r="D193" i="3"/>
  <c r="E193" i="3"/>
  <c r="F193" i="3"/>
  <c r="G193" i="3"/>
  <c r="H193" i="3"/>
  <c r="I193" i="3"/>
  <c r="J193" i="3"/>
  <c r="K193" i="3"/>
  <c r="L193" i="3"/>
  <c r="M193" i="3"/>
  <c r="N193" i="3"/>
  <c r="O193" i="3"/>
  <c r="P193" i="3"/>
  <c r="Q193" i="3"/>
  <c r="R193" i="3"/>
  <c r="S193" i="3"/>
  <c r="C192" i="3"/>
  <c r="D192" i="3"/>
  <c r="E192" i="3"/>
  <c r="F192" i="3"/>
  <c r="G192" i="3"/>
  <c r="H192" i="3"/>
  <c r="I192" i="3"/>
  <c r="J192" i="3"/>
  <c r="K192" i="3"/>
  <c r="L192" i="3"/>
  <c r="M192" i="3"/>
  <c r="N192" i="3"/>
  <c r="O192" i="3"/>
  <c r="P192" i="3"/>
  <c r="Q192" i="3"/>
  <c r="R192" i="3"/>
  <c r="S192" i="3"/>
  <c r="C191" i="3"/>
  <c r="D191" i="3"/>
  <c r="E191" i="3"/>
  <c r="F191" i="3"/>
  <c r="G191" i="3"/>
  <c r="H191" i="3"/>
  <c r="I191" i="3"/>
  <c r="J191" i="3"/>
  <c r="K191" i="3"/>
  <c r="L191" i="3"/>
  <c r="M191" i="3"/>
  <c r="N191" i="3"/>
  <c r="O191" i="3"/>
  <c r="P191" i="3"/>
  <c r="Q191" i="3"/>
  <c r="R191" i="3"/>
  <c r="S191" i="3"/>
  <c r="C197" i="3"/>
  <c r="D197" i="3"/>
  <c r="E197" i="3"/>
  <c r="F197" i="3"/>
  <c r="G197" i="3"/>
  <c r="H197" i="3"/>
  <c r="I197" i="3"/>
  <c r="J197" i="3"/>
  <c r="K197" i="3"/>
  <c r="L197" i="3"/>
  <c r="M197" i="3"/>
  <c r="N197" i="3"/>
  <c r="O197" i="3"/>
  <c r="P197" i="3"/>
  <c r="Q197" i="3"/>
  <c r="R197" i="3"/>
  <c r="S197" i="3"/>
  <c r="C196" i="3"/>
  <c r="D196" i="3"/>
  <c r="E196" i="3"/>
  <c r="F196" i="3"/>
  <c r="G196" i="3"/>
  <c r="H196" i="3"/>
  <c r="I196" i="3"/>
  <c r="J196" i="3"/>
  <c r="K196" i="3"/>
  <c r="L196" i="3"/>
  <c r="M196" i="3"/>
  <c r="N196" i="3"/>
  <c r="O196" i="3"/>
  <c r="P196" i="3"/>
  <c r="Q196" i="3"/>
  <c r="R196" i="3"/>
  <c r="S196" i="3"/>
  <c r="C195" i="3"/>
  <c r="D195" i="3"/>
  <c r="E195" i="3"/>
  <c r="F195" i="3"/>
  <c r="G195" i="3"/>
  <c r="H195" i="3"/>
  <c r="I195" i="3"/>
  <c r="J195" i="3"/>
  <c r="K195" i="3"/>
  <c r="L195" i="3"/>
  <c r="M195" i="3"/>
  <c r="N195" i="3"/>
  <c r="O195" i="3"/>
  <c r="P195" i="3"/>
  <c r="Q195" i="3"/>
  <c r="R195" i="3"/>
  <c r="S195" i="3"/>
  <c r="C199" i="3"/>
  <c r="D199" i="3"/>
  <c r="E199" i="3"/>
  <c r="F199" i="3"/>
  <c r="G199" i="3"/>
  <c r="H199" i="3"/>
  <c r="I199" i="3"/>
  <c r="J199" i="3"/>
  <c r="K199" i="3"/>
  <c r="L199" i="3"/>
  <c r="M199" i="3"/>
  <c r="N199" i="3"/>
  <c r="O199" i="3"/>
  <c r="P199" i="3"/>
  <c r="Q199" i="3"/>
  <c r="R199" i="3"/>
  <c r="S199" i="3"/>
  <c r="C200" i="3"/>
  <c r="D200" i="3"/>
  <c r="E200" i="3"/>
  <c r="F200" i="3"/>
  <c r="G200" i="3"/>
  <c r="H200" i="3"/>
  <c r="I200" i="3"/>
  <c r="J200" i="3"/>
  <c r="K200" i="3"/>
  <c r="L200" i="3"/>
  <c r="M200" i="3"/>
  <c r="N200" i="3"/>
  <c r="O200" i="3"/>
  <c r="P200" i="3"/>
  <c r="Q200" i="3"/>
  <c r="R200" i="3"/>
  <c r="S200" i="3"/>
  <c r="C201" i="3"/>
  <c r="D201" i="3"/>
  <c r="E201" i="3"/>
  <c r="F201" i="3"/>
  <c r="G201" i="3"/>
  <c r="H201" i="3"/>
  <c r="I201" i="3"/>
  <c r="J201" i="3"/>
  <c r="K201" i="3"/>
  <c r="L201" i="3"/>
  <c r="M201" i="3"/>
  <c r="N201" i="3"/>
  <c r="O201" i="3"/>
  <c r="P201" i="3"/>
  <c r="Q201" i="3"/>
  <c r="R201" i="3"/>
  <c r="S201" i="3"/>
  <c r="C169" i="3"/>
  <c r="D169" i="3"/>
  <c r="E169" i="3"/>
  <c r="F169" i="3"/>
  <c r="G169" i="3"/>
  <c r="H169" i="3"/>
  <c r="I169" i="3"/>
  <c r="J169" i="3"/>
  <c r="K169" i="3"/>
  <c r="L169" i="3"/>
  <c r="M169" i="3"/>
  <c r="N169" i="3"/>
  <c r="O169" i="3"/>
  <c r="P169" i="3"/>
  <c r="Q169" i="3"/>
  <c r="R169" i="3"/>
  <c r="S169" i="3"/>
  <c r="C168" i="3"/>
  <c r="D168" i="3"/>
  <c r="E168" i="3"/>
  <c r="F168" i="3"/>
  <c r="G168" i="3"/>
  <c r="H168" i="3"/>
  <c r="I168" i="3"/>
  <c r="J168" i="3"/>
  <c r="K168" i="3"/>
  <c r="L168" i="3"/>
  <c r="M168" i="3"/>
  <c r="N168" i="3"/>
  <c r="O168" i="3"/>
  <c r="P168" i="3"/>
  <c r="Q168" i="3"/>
  <c r="R168" i="3"/>
  <c r="S168" i="3"/>
  <c r="C167" i="3"/>
  <c r="D167" i="3"/>
  <c r="E167" i="3"/>
  <c r="F167" i="3"/>
  <c r="G167" i="3"/>
  <c r="H167" i="3"/>
  <c r="I167" i="3"/>
  <c r="J167" i="3"/>
  <c r="K167" i="3"/>
  <c r="L167" i="3"/>
  <c r="M167" i="3"/>
  <c r="N167" i="3"/>
  <c r="O167" i="3"/>
  <c r="P167" i="3"/>
  <c r="Q167" i="3"/>
  <c r="R167" i="3"/>
  <c r="S167" i="3"/>
  <c r="C165" i="3"/>
  <c r="D165" i="3"/>
  <c r="E165" i="3"/>
  <c r="F165" i="3"/>
  <c r="G165" i="3"/>
  <c r="H165" i="3"/>
  <c r="I165" i="3"/>
  <c r="J165" i="3"/>
  <c r="K165" i="3"/>
  <c r="L165" i="3"/>
  <c r="M165" i="3"/>
  <c r="N165" i="3"/>
  <c r="O165" i="3"/>
  <c r="P165" i="3"/>
  <c r="Q165" i="3"/>
  <c r="R165" i="3"/>
  <c r="S165" i="3"/>
  <c r="C164" i="3"/>
  <c r="D164" i="3"/>
  <c r="E164" i="3"/>
  <c r="F164" i="3"/>
  <c r="G164" i="3"/>
  <c r="H164" i="3"/>
  <c r="I164" i="3"/>
  <c r="J164" i="3"/>
  <c r="K164" i="3"/>
  <c r="L164" i="3"/>
  <c r="M164" i="3"/>
  <c r="N164" i="3"/>
  <c r="O164" i="3"/>
  <c r="P164" i="3"/>
  <c r="Q164" i="3"/>
  <c r="R164" i="3"/>
  <c r="S164" i="3"/>
  <c r="C163" i="3"/>
  <c r="D163" i="3"/>
  <c r="E163" i="3"/>
  <c r="F163" i="3"/>
  <c r="G163" i="3"/>
  <c r="H163" i="3"/>
  <c r="I163" i="3"/>
  <c r="J163" i="3"/>
  <c r="K163" i="3"/>
  <c r="L163" i="3"/>
  <c r="M163" i="3"/>
  <c r="N163" i="3"/>
  <c r="O163" i="3"/>
  <c r="P163" i="3"/>
  <c r="Q163" i="3"/>
  <c r="R163" i="3"/>
  <c r="S163" i="3"/>
  <c r="B201" i="3"/>
  <c r="B200" i="3"/>
  <c r="B199" i="3"/>
  <c r="B197" i="3"/>
  <c r="B196" i="3"/>
  <c r="B195" i="3"/>
  <c r="B193" i="3"/>
  <c r="B192" i="3"/>
  <c r="B191" i="3"/>
  <c r="B189" i="3"/>
  <c r="B188" i="3"/>
  <c r="B187" i="3"/>
  <c r="B185" i="3"/>
  <c r="B184" i="3"/>
  <c r="B183" i="3"/>
  <c r="B181" i="3"/>
  <c r="B180" i="3"/>
  <c r="B179" i="3"/>
  <c r="B177" i="3"/>
  <c r="B176" i="3"/>
  <c r="B175" i="3"/>
  <c r="B173" i="3"/>
  <c r="B172" i="3"/>
  <c r="B171" i="3"/>
  <c r="B169" i="3"/>
  <c r="B168" i="3"/>
  <c r="B167" i="3"/>
  <c r="B165" i="3"/>
  <c r="B164" i="3"/>
  <c r="B163" i="3"/>
  <c r="C161" i="3"/>
  <c r="D161" i="3"/>
  <c r="E161" i="3"/>
  <c r="F161" i="3"/>
  <c r="G161" i="3"/>
  <c r="H161" i="3"/>
  <c r="I161" i="3"/>
  <c r="J161" i="3"/>
  <c r="K161" i="3"/>
  <c r="L161" i="3"/>
  <c r="M161" i="3"/>
  <c r="N161" i="3"/>
  <c r="O161" i="3"/>
  <c r="P161" i="3"/>
  <c r="Q161" i="3"/>
  <c r="R161" i="3"/>
  <c r="S161" i="3"/>
  <c r="C160" i="3"/>
  <c r="D160" i="3"/>
  <c r="E160" i="3"/>
  <c r="F160" i="3"/>
  <c r="G160" i="3"/>
  <c r="H160" i="3"/>
  <c r="I160" i="3"/>
  <c r="J160" i="3"/>
  <c r="K160" i="3"/>
  <c r="L160" i="3"/>
  <c r="M160" i="3"/>
  <c r="N160" i="3"/>
  <c r="O160" i="3"/>
  <c r="P160" i="3"/>
  <c r="Q160" i="3"/>
  <c r="R160" i="3"/>
  <c r="S160" i="3"/>
  <c r="C159" i="3"/>
  <c r="D159" i="3"/>
  <c r="E159" i="3"/>
  <c r="F159" i="3"/>
  <c r="G159" i="3"/>
  <c r="H159" i="3"/>
  <c r="I159" i="3"/>
  <c r="J159" i="3"/>
  <c r="K159" i="3"/>
  <c r="L159" i="3"/>
  <c r="M159" i="3"/>
  <c r="N159" i="3"/>
  <c r="O159" i="3"/>
  <c r="P159" i="3"/>
  <c r="Q159" i="3"/>
  <c r="R159" i="3"/>
  <c r="S159" i="3"/>
  <c r="C157" i="3"/>
  <c r="D157" i="3"/>
  <c r="E157" i="3"/>
  <c r="F157" i="3"/>
  <c r="G157" i="3"/>
  <c r="H157" i="3"/>
  <c r="I157" i="3"/>
  <c r="J157" i="3"/>
  <c r="K157" i="3"/>
  <c r="L157" i="3"/>
  <c r="M157" i="3"/>
  <c r="N157" i="3"/>
  <c r="O157" i="3"/>
  <c r="P157" i="3"/>
  <c r="Q157" i="3"/>
  <c r="R157" i="3"/>
  <c r="S157" i="3"/>
  <c r="C156" i="3"/>
  <c r="D156" i="3"/>
  <c r="E156" i="3"/>
  <c r="F156" i="3"/>
  <c r="G156" i="3"/>
  <c r="H156" i="3"/>
  <c r="I156" i="3"/>
  <c r="J156" i="3"/>
  <c r="K156" i="3"/>
  <c r="L156" i="3"/>
  <c r="M156" i="3"/>
  <c r="N156" i="3"/>
  <c r="O156" i="3"/>
  <c r="P156" i="3"/>
  <c r="Q156" i="3"/>
  <c r="R156" i="3"/>
  <c r="S156" i="3"/>
  <c r="C155" i="3"/>
  <c r="D155" i="3"/>
  <c r="E155" i="3"/>
  <c r="F155" i="3"/>
  <c r="G155" i="3"/>
  <c r="H155" i="3"/>
  <c r="I155" i="3"/>
  <c r="J155" i="3"/>
  <c r="K155" i="3"/>
  <c r="L155" i="3"/>
  <c r="M155" i="3"/>
  <c r="N155" i="3"/>
  <c r="O155" i="3"/>
  <c r="P155" i="3"/>
  <c r="Q155" i="3"/>
  <c r="R155" i="3"/>
  <c r="S155" i="3"/>
  <c r="C153" i="3"/>
  <c r="D153" i="3"/>
  <c r="E153" i="3"/>
  <c r="F153" i="3"/>
  <c r="G153" i="3"/>
  <c r="H153" i="3"/>
  <c r="I153" i="3"/>
  <c r="J153" i="3"/>
  <c r="K153" i="3"/>
  <c r="L153" i="3"/>
  <c r="M153" i="3"/>
  <c r="N153" i="3"/>
  <c r="O153" i="3"/>
  <c r="P153" i="3"/>
  <c r="Q153" i="3"/>
  <c r="R153" i="3"/>
  <c r="S153" i="3"/>
  <c r="C152" i="3"/>
  <c r="D152" i="3"/>
  <c r="E152" i="3"/>
  <c r="F152" i="3"/>
  <c r="G152" i="3"/>
  <c r="H152" i="3"/>
  <c r="I152" i="3"/>
  <c r="J152" i="3"/>
  <c r="K152" i="3"/>
  <c r="L152" i="3"/>
  <c r="M152" i="3"/>
  <c r="N152" i="3"/>
  <c r="O152" i="3"/>
  <c r="P152" i="3"/>
  <c r="Q152" i="3"/>
  <c r="R152" i="3"/>
  <c r="S152" i="3"/>
  <c r="C151" i="3"/>
  <c r="D151" i="3"/>
  <c r="E151" i="3"/>
  <c r="F151" i="3"/>
  <c r="G151" i="3"/>
  <c r="H151" i="3"/>
  <c r="I151" i="3"/>
  <c r="J151" i="3"/>
  <c r="K151" i="3"/>
  <c r="L151" i="3"/>
  <c r="M151" i="3"/>
  <c r="N151" i="3"/>
  <c r="O151" i="3"/>
  <c r="P151" i="3"/>
  <c r="Q151" i="3"/>
  <c r="R151" i="3"/>
  <c r="S151" i="3"/>
  <c r="C149" i="3"/>
  <c r="D149" i="3"/>
  <c r="E149" i="3"/>
  <c r="F149" i="3"/>
  <c r="G149" i="3"/>
  <c r="H149" i="3"/>
  <c r="I149" i="3"/>
  <c r="J149" i="3"/>
  <c r="K149" i="3"/>
  <c r="L149" i="3"/>
  <c r="M149" i="3"/>
  <c r="N149" i="3"/>
  <c r="O149" i="3"/>
  <c r="P149" i="3"/>
  <c r="Q149" i="3"/>
  <c r="R149" i="3"/>
  <c r="S149" i="3"/>
  <c r="C148" i="3"/>
  <c r="D148" i="3"/>
  <c r="E148" i="3"/>
  <c r="F148" i="3"/>
  <c r="G148" i="3"/>
  <c r="H148" i="3"/>
  <c r="I148" i="3"/>
  <c r="J148" i="3"/>
  <c r="K148" i="3"/>
  <c r="L148" i="3"/>
  <c r="M148" i="3"/>
  <c r="N148" i="3"/>
  <c r="O148" i="3"/>
  <c r="P148" i="3"/>
  <c r="Q148" i="3"/>
  <c r="R148" i="3"/>
  <c r="S148" i="3"/>
  <c r="C147" i="3"/>
  <c r="D147" i="3"/>
  <c r="E147" i="3"/>
  <c r="F147" i="3"/>
  <c r="G147" i="3"/>
  <c r="H147" i="3"/>
  <c r="I147" i="3"/>
  <c r="J147" i="3"/>
  <c r="K147" i="3"/>
  <c r="L147" i="3"/>
  <c r="M147" i="3"/>
  <c r="N147" i="3"/>
  <c r="O147" i="3"/>
  <c r="P147" i="3"/>
  <c r="Q147" i="3"/>
  <c r="R147" i="3"/>
  <c r="S147" i="3"/>
  <c r="C145" i="3"/>
  <c r="D145" i="3"/>
  <c r="E145" i="3"/>
  <c r="F145" i="3"/>
  <c r="G145" i="3"/>
  <c r="H145" i="3"/>
  <c r="I145" i="3"/>
  <c r="J145" i="3"/>
  <c r="K145" i="3"/>
  <c r="L145" i="3"/>
  <c r="M145" i="3"/>
  <c r="N145" i="3"/>
  <c r="O145" i="3"/>
  <c r="P145" i="3"/>
  <c r="Q145" i="3"/>
  <c r="R145" i="3"/>
  <c r="S145" i="3"/>
  <c r="C144" i="3"/>
  <c r="D144" i="3"/>
  <c r="E144" i="3"/>
  <c r="F144" i="3"/>
  <c r="G144" i="3"/>
  <c r="H144" i="3"/>
  <c r="I144" i="3"/>
  <c r="J144" i="3"/>
  <c r="K144" i="3"/>
  <c r="L144" i="3"/>
  <c r="M144" i="3"/>
  <c r="N144" i="3"/>
  <c r="O144" i="3"/>
  <c r="P144" i="3"/>
  <c r="Q144" i="3"/>
  <c r="R144" i="3"/>
  <c r="S144" i="3"/>
  <c r="C143" i="3"/>
  <c r="D143" i="3"/>
  <c r="E143" i="3"/>
  <c r="F143" i="3"/>
  <c r="G143" i="3"/>
  <c r="H143" i="3"/>
  <c r="I143" i="3"/>
  <c r="J143" i="3"/>
  <c r="K143" i="3"/>
  <c r="L143" i="3"/>
  <c r="M143" i="3"/>
  <c r="N143" i="3"/>
  <c r="O143" i="3"/>
  <c r="P143" i="3"/>
  <c r="Q143" i="3"/>
  <c r="R143" i="3"/>
  <c r="S143" i="3"/>
  <c r="C141" i="3"/>
  <c r="D141" i="3"/>
  <c r="E141" i="3"/>
  <c r="F141" i="3"/>
  <c r="G141" i="3"/>
  <c r="H141" i="3"/>
  <c r="I141" i="3"/>
  <c r="J141" i="3"/>
  <c r="K141" i="3"/>
  <c r="L141" i="3"/>
  <c r="M141" i="3"/>
  <c r="N141" i="3"/>
  <c r="O141" i="3"/>
  <c r="P141" i="3"/>
  <c r="Q141" i="3"/>
  <c r="R141" i="3"/>
  <c r="S141" i="3"/>
  <c r="C140" i="3"/>
  <c r="D140" i="3"/>
  <c r="E140" i="3"/>
  <c r="F140" i="3"/>
  <c r="G140" i="3"/>
  <c r="H140" i="3"/>
  <c r="I140" i="3"/>
  <c r="J140" i="3"/>
  <c r="K140" i="3"/>
  <c r="L140" i="3"/>
  <c r="M140" i="3"/>
  <c r="N140" i="3"/>
  <c r="O140" i="3"/>
  <c r="P140" i="3"/>
  <c r="Q140" i="3"/>
  <c r="R140" i="3"/>
  <c r="S140" i="3"/>
  <c r="C139" i="3"/>
  <c r="D139" i="3"/>
  <c r="E139" i="3"/>
  <c r="F139" i="3"/>
  <c r="G139" i="3"/>
  <c r="H139" i="3"/>
  <c r="I139" i="3"/>
  <c r="J139" i="3"/>
  <c r="K139" i="3"/>
  <c r="L139" i="3"/>
  <c r="M139" i="3"/>
  <c r="N139" i="3"/>
  <c r="O139" i="3"/>
  <c r="P139" i="3"/>
  <c r="Q139" i="3"/>
  <c r="R139" i="3"/>
  <c r="S139" i="3"/>
  <c r="C137" i="3"/>
  <c r="D137" i="3"/>
  <c r="E137" i="3"/>
  <c r="F137" i="3"/>
  <c r="G137" i="3"/>
  <c r="H137" i="3"/>
  <c r="I137" i="3"/>
  <c r="J137" i="3"/>
  <c r="K137" i="3"/>
  <c r="L137" i="3"/>
  <c r="M137" i="3"/>
  <c r="N137" i="3"/>
  <c r="O137" i="3"/>
  <c r="P137" i="3"/>
  <c r="Q137" i="3"/>
  <c r="R137" i="3"/>
  <c r="S137" i="3"/>
  <c r="C136" i="3"/>
  <c r="D136" i="3"/>
  <c r="E136" i="3"/>
  <c r="F136" i="3"/>
  <c r="G136" i="3"/>
  <c r="H136" i="3"/>
  <c r="I136" i="3"/>
  <c r="J136" i="3"/>
  <c r="K136" i="3"/>
  <c r="L136" i="3"/>
  <c r="M136" i="3"/>
  <c r="N136" i="3"/>
  <c r="O136" i="3"/>
  <c r="P136" i="3"/>
  <c r="Q136" i="3"/>
  <c r="R136" i="3"/>
  <c r="S136" i="3"/>
  <c r="C135" i="3"/>
  <c r="D135" i="3"/>
  <c r="E135" i="3"/>
  <c r="F135" i="3"/>
  <c r="G135" i="3"/>
  <c r="H135" i="3"/>
  <c r="I135" i="3"/>
  <c r="J135" i="3"/>
  <c r="K135" i="3"/>
  <c r="L135" i="3"/>
  <c r="M135" i="3"/>
  <c r="N135" i="3"/>
  <c r="O135" i="3"/>
  <c r="P135" i="3"/>
  <c r="Q135" i="3"/>
  <c r="R135" i="3"/>
  <c r="S135" i="3"/>
  <c r="C133" i="3"/>
  <c r="D133" i="3"/>
  <c r="E133" i="3"/>
  <c r="F133" i="3"/>
  <c r="G133" i="3"/>
  <c r="H133" i="3"/>
  <c r="I133" i="3"/>
  <c r="J133" i="3"/>
  <c r="K133" i="3"/>
  <c r="L133" i="3"/>
  <c r="M133" i="3"/>
  <c r="N133" i="3"/>
  <c r="O133" i="3"/>
  <c r="P133" i="3"/>
  <c r="Q133" i="3"/>
  <c r="R133" i="3"/>
  <c r="S133" i="3"/>
  <c r="C132" i="3"/>
  <c r="D132" i="3"/>
  <c r="E132" i="3"/>
  <c r="F132" i="3"/>
  <c r="G132" i="3"/>
  <c r="H132" i="3"/>
  <c r="I132" i="3"/>
  <c r="J132" i="3"/>
  <c r="K132" i="3"/>
  <c r="L132" i="3"/>
  <c r="M132" i="3"/>
  <c r="N132" i="3"/>
  <c r="O132" i="3"/>
  <c r="P132" i="3"/>
  <c r="Q132" i="3"/>
  <c r="R132" i="3"/>
  <c r="S132" i="3"/>
  <c r="C131" i="3"/>
  <c r="D131" i="3"/>
  <c r="E131" i="3"/>
  <c r="F131" i="3"/>
  <c r="G131" i="3"/>
  <c r="H131" i="3"/>
  <c r="I131" i="3"/>
  <c r="J131" i="3"/>
  <c r="K131" i="3"/>
  <c r="L131" i="3"/>
  <c r="M131" i="3"/>
  <c r="N131" i="3"/>
  <c r="O131" i="3"/>
  <c r="P131" i="3"/>
  <c r="Q131" i="3"/>
  <c r="R131" i="3"/>
  <c r="S131" i="3"/>
  <c r="C129" i="3"/>
  <c r="D129" i="3"/>
  <c r="E129" i="3"/>
  <c r="F129" i="3"/>
  <c r="G129" i="3"/>
  <c r="H129" i="3"/>
  <c r="I129" i="3"/>
  <c r="J129" i="3"/>
  <c r="K129" i="3"/>
  <c r="L129" i="3"/>
  <c r="M129" i="3"/>
  <c r="N129" i="3"/>
  <c r="O129" i="3"/>
  <c r="P129" i="3"/>
  <c r="Q129" i="3"/>
  <c r="R129" i="3"/>
  <c r="S129" i="3"/>
  <c r="C128" i="3"/>
  <c r="D128" i="3"/>
  <c r="E128" i="3"/>
  <c r="F128" i="3"/>
  <c r="G128" i="3"/>
  <c r="H128" i="3"/>
  <c r="I128" i="3"/>
  <c r="J128" i="3"/>
  <c r="K128" i="3"/>
  <c r="L128" i="3"/>
  <c r="M128" i="3"/>
  <c r="N128" i="3"/>
  <c r="O128" i="3"/>
  <c r="P128" i="3"/>
  <c r="Q128" i="3"/>
  <c r="R128" i="3"/>
  <c r="S128" i="3"/>
  <c r="C127" i="3"/>
  <c r="D127" i="3"/>
  <c r="E127" i="3"/>
  <c r="F127" i="3"/>
  <c r="G127" i="3"/>
  <c r="H127" i="3"/>
  <c r="I127" i="3"/>
  <c r="J127" i="3"/>
  <c r="K127" i="3"/>
  <c r="L127" i="3"/>
  <c r="M127" i="3"/>
  <c r="N127" i="3"/>
  <c r="O127" i="3"/>
  <c r="P127" i="3"/>
  <c r="Q127" i="3"/>
  <c r="R127" i="3"/>
  <c r="S127" i="3"/>
  <c r="C125" i="3"/>
  <c r="D125" i="3"/>
  <c r="E125" i="3"/>
  <c r="F125" i="3"/>
  <c r="G125" i="3"/>
  <c r="H125" i="3"/>
  <c r="I125" i="3"/>
  <c r="J125" i="3"/>
  <c r="K125" i="3"/>
  <c r="L125" i="3"/>
  <c r="M125" i="3"/>
  <c r="N125" i="3"/>
  <c r="O125" i="3"/>
  <c r="P125" i="3"/>
  <c r="Q125" i="3"/>
  <c r="R125" i="3"/>
  <c r="S125" i="3"/>
  <c r="C124" i="3"/>
  <c r="D124" i="3"/>
  <c r="E124" i="3"/>
  <c r="F124" i="3"/>
  <c r="G124" i="3"/>
  <c r="H124" i="3"/>
  <c r="I124" i="3"/>
  <c r="J124" i="3"/>
  <c r="K124" i="3"/>
  <c r="L124" i="3"/>
  <c r="M124" i="3"/>
  <c r="N124" i="3"/>
  <c r="O124" i="3"/>
  <c r="P124" i="3"/>
  <c r="Q124" i="3"/>
  <c r="R124" i="3"/>
  <c r="S124" i="3"/>
  <c r="C123" i="3"/>
  <c r="D123" i="3"/>
  <c r="E123" i="3"/>
  <c r="F123" i="3"/>
  <c r="G123" i="3"/>
  <c r="H123" i="3"/>
  <c r="I123" i="3"/>
  <c r="J123" i="3"/>
  <c r="K123" i="3"/>
  <c r="L123" i="3"/>
  <c r="M123" i="3"/>
  <c r="N123" i="3"/>
  <c r="O123" i="3"/>
  <c r="P123" i="3"/>
  <c r="Q123" i="3"/>
  <c r="R123" i="3"/>
  <c r="S123" i="3"/>
  <c r="B161" i="3"/>
  <c r="B160" i="3"/>
  <c r="B159" i="3"/>
  <c r="B157" i="3"/>
  <c r="B156" i="3"/>
  <c r="B155" i="3"/>
  <c r="B153" i="3"/>
  <c r="B152" i="3"/>
  <c r="B151" i="3"/>
  <c r="B149" i="3"/>
  <c r="B148" i="3"/>
  <c r="B147" i="3"/>
  <c r="B145" i="3"/>
  <c r="B144" i="3"/>
  <c r="B143" i="3"/>
  <c r="B141" i="3"/>
  <c r="B140" i="3"/>
  <c r="B139" i="3"/>
  <c r="B137" i="3"/>
  <c r="B136" i="3"/>
  <c r="B135" i="3"/>
  <c r="B133" i="3"/>
  <c r="B132" i="3"/>
  <c r="B131" i="3"/>
  <c r="B129" i="3"/>
  <c r="B128" i="3"/>
  <c r="B127" i="3"/>
  <c r="B125" i="3"/>
  <c r="B124" i="3"/>
  <c r="B123" i="3"/>
  <c r="C121" i="3"/>
  <c r="D121" i="3"/>
  <c r="E121" i="3"/>
  <c r="F121" i="3"/>
  <c r="G121" i="3"/>
  <c r="H121" i="3"/>
  <c r="I121" i="3"/>
  <c r="J121" i="3"/>
  <c r="K121" i="3"/>
  <c r="L121" i="3"/>
  <c r="M121" i="3"/>
  <c r="N121" i="3"/>
  <c r="O121" i="3"/>
  <c r="P121" i="3"/>
  <c r="Q121" i="3"/>
  <c r="R121" i="3"/>
  <c r="S121" i="3"/>
  <c r="C120" i="3"/>
  <c r="D120" i="3"/>
  <c r="E120" i="3"/>
  <c r="F120" i="3"/>
  <c r="G120" i="3"/>
  <c r="H120" i="3"/>
  <c r="I120" i="3"/>
  <c r="J120" i="3"/>
  <c r="K120" i="3"/>
  <c r="L120" i="3"/>
  <c r="M120" i="3"/>
  <c r="N120" i="3"/>
  <c r="O120" i="3"/>
  <c r="P120" i="3"/>
  <c r="Q120" i="3"/>
  <c r="R120" i="3"/>
  <c r="S120" i="3"/>
  <c r="C119" i="3"/>
  <c r="D119" i="3"/>
  <c r="E119" i="3"/>
  <c r="F119" i="3"/>
  <c r="G119" i="3"/>
  <c r="H119" i="3"/>
  <c r="I119" i="3"/>
  <c r="J119" i="3"/>
  <c r="K119" i="3"/>
  <c r="L119" i="3"/>
  <c r="M119" i="3"/>
  <c r="N119" i="3"/>
  <c r="O119" i="3"/>
  <c r="P119" i="3"/>
  <c r="Q119" i="3"/>
  <c r="R119" i="3"/>
  <c r="S119" i="3"/>
  <c r="C117" i="3"/>
  <c r="D117" i="3"/>
  <c r="E117" i="3"/>
  <c r="F117" i="3"/>
  <c r="G117" i="3"/>
  <c r="H117" i="3"/>
  <c r="I117" i="3"/>
  <c r="J117" i="3"/>
  <c r="K117" i="3"/>
  <c r="L117" i="3"/>
  <c r="M117" i="3"/>
  <c r="N117" i="3"/>
  <c r="O117" i="3"/>
  <c r="P117" i="3"/>
  <c r="Q117" i="3"/>
  <c r="R117" i="3"/>
  <c r="S117" i="3"/>
  <c r="C116" i="3"/>
  <c r="D116" i="3"/>
  <c r="E116" i="3"/>
  <c r="F116" i="3"/>
  <c r="G116" i="3"/>
  <c r="H116" i="3"/>
  <c r="I116" i="3"/>
  <c r="J116" i="3"/>
  <c r="K116" i="3"/>
  <c r="L116" i="3"/>
  <c r="M116" i="3"/>
  <c r="N116" i="3"/>
  <c r="O116" i="3"/>
  <c r="P116" i="3"/>
  <c r="Q116" i="3"/>
  <c r="R116" i="3"/>
  <c r="S116" i="3"/>
  <c r="C115" i="3"/>
  <c r="D115" i="3"/>
  <c r="E115" i="3"/>
  <c r="F115" i="3"/>
  <c r="G115" i="3"/>
  <c r="H115" i="3"/>
  <c r="I115" i="3"/>
  <c r="J115" i="3"/>
  <c r="K115" i="3"/>
  <c r="L115" i="3"/>
  <c r="M115" i="3"/>
  <c r="N115" i="3"/>
  <c r="O115" i="3"/>
  <c r="P115" i="3"/>
  <c r="Q115" i="3"/>
  <c r="R115" i="3"/>
  <c r="S115" i="3"/>
  <c r="C113" i="3"/>
  <c r="D113" i="3"/>
  <c r="E113" i="3"/>
  <c r="F113" i="3"/>
  <c r="G113" i="3"/>
  <c r="H113" i="3"/>
  <c r="I113" i="3"/>
  <c r="J113" i="3"/>
  <c r="K113" i="3"/>
  <c r="L113" i="3"/>
  <c r="M113" i="3"/>
  <c r="N113" i="3"/>
  <c r="O113" i="3"/>
  <c r="P113" i="3"/>
  <c r="Q113" i="3"/>
  <c r="R113" i="3"/>
  <c r="S113" i="3"/>
  <c r="C112" i="3"/>
  <c r="D112" i="3"/>
  <c r="E112" i="3"/>
  <c r="F112" i="3"/>
  <c r="G112" i="3"/>
  <c r="H112" i="3"/>
  <c r="I112" i="3"/>
  <c r="J112" i="3"/>
  <c r="K112" i="3"/>
  <c r="L112" i="3"/>
  <c r="M112" i="3"/>
  <c r="N112" i="3"/>
  <c r="O112" i="3"/>
  <c r="P112" i="3"/>
  <c r="Q112" i="3"/>
  <c r="R112" i="3"/>
  <c r="S112" i="3"/>
  <c r="C111" i="3"/>
  <c r="D111" i="3"/>
  <c r="E111" i="3"/>
  <c r="F111" i="3"/>
  <c r="G111" i="3"/>
  <c r="H111" i="3"/>
  <c r="I111" i="3"/>
  <c r="J111" i="3"/>
  <c r="K111" i="3"/>
  <c r="L111" i="3"/>
  <c r="M111" i="3"/>
  <c r="N111" i="3"/>
  <c r="O111" i="3"/>
  <c r="P111" i="3"/>
  <c r="Q111" i="3"/>
  <c r="R111" i="3"/>
  <c r="S111" i="3"/>
  <c r="C109" i="3"/>
  <c r="D109" i="3"/>
  <c r="E109" i="3"/>
  <c r="F109" i="3"/>
  <c r="G109" i="3"/>
  <c r="H109" i="3"/>
  <c r="I109" i="3"/>
  <c r="J109" i="3"/>
  <c r="K109" i="3"/>
  <c r="L109" i="3"/>
  <c r="M109" i="3"/>
  <c r="N109" i="3"/>
  <c r="O109" i="3"/>
  <c r="P109" i="3"/>
  <c r="Q109" i="3"/>
  <c r="R109" i="3"/>
  <c r="S109" i="3"/>
  <c r="C108" i="3"/>
  <c r="D108" i="3"/>
  <c r="E108" i="3"/>
  <c r="F108" i="3"/>
  <c r="G108" i="3"/>
  <c r="H108" i="3"/>
  <c r="I108" i="3"/>
  <c r="J108" i="3"/>
  <c r="K108" i="3"/>
  <c r="L108" i="3"/>
  <c r="M108" i="3"/>
  <c r="N108" i="3"/>
  <c r="O108" i="3"/>
  <c r="P108" i="3"/>
  <c r="Q108" i="3"/>
  <c r="R108" i="3"/>
  <c r="S108" i="3"/>
  <c r="C107" i="3"/>
  <c r="D107" i="3"/>
  <c r="E107" i="3"/>
  <c r="F107" i="3"/>
  <c r="G107" i="3"/>
  <c r="H107" i="3"/>
  <c r="I107" i="3"/>
  <c r="J107" i="3"/>
  <c r="K107" i="3"/>
  <c r="L107" i="3"/>
  <c r="M107" i="3"/>
  <c r="N107" i="3"/>
  <c r="O107" i="3"/>
  <c r="P107" i="3"/>
  <c r="Q107" i="3"/>
  <c r="R107" i="3"/>
  <c r="S107" i="3"/>
  <c r="C105" i="3"/>
  <c r="D105" i="3"/>
  <c r="E105" i="3"/>
  <c r="F105" i="3"/>
  <c r="G105" i="3"/>
  <c r="H105" i="3"/>
  <c r="I105" i="3"/>
  <c r="J105" i="3"/>
  <c r="K105" i="3"/>
  <c r="L105" i="3"/>
  <c r="M105" i="3"/>
  <c r="N105" i="3"/>
  <c r="O105" i="3"/>
  <c r="P105" i="3"/>
  <c r="Q105" i="3"/>
  <c r="R105" i="3"/>
  <c r="S105" i="3"/>
  <c r="C104" i="3"/>
  <c r="D104" i="3"/>
  <c r="E104" i="3"/>
  <c r="F104" i="3"/>
  <c r="G104" i="3"/>
  <c r="H104" i="3"/>
  <c r="I104" i="3"/>
  <c r="J104" i="3"/>
  <c r="K104" i="3"/>
  <c r="L104" i="3"/>
  <c r="M104" i="3"/>
  <c r="N104" i="3"/>
  <c r="O104" i="3"/>
  <c r="P104" i="3"/>
  <c r="Q104" i="3"/>
  <c r="R104" i="3"/>
  <c r="S104" i="3"/>
  <c r="C103" i="3"/>
  <c r="D103" i="3"/>
  <c r="E103" i="3"/>
  <c r="F103" i="3"/>
  <c r="G103" i="3"/>
  <c r="H103" i="3"/>
  <c r="I103" i="3"/>
  <c r="J103" i="3"/>
  <c r="K103" i="3"/>
  <c r="L103" i="3"/>
  <c r="M103" i="3"/>
  <c r="N103" i="3"/>
  <c r="O103" i="3"/>
  <c r="P103" i="3"/>
  <c r="Q103" i="3"/>
  <c r="R103" i="3"/>
  <c r="S103" i="3"/>
  <c r="C101" i="3"/>
  <c r="D101" i="3"/>
  <c r="E101" i="3"/>
  <c r="F101" i="3"/>
  <c r="G101" i="3"/>
  <c r="H101" i="3"/>
  <c r="I101" i="3"/>
  <c r="J101" i="3"/>
  <c r="K101" i="3"/>
  <c r="L101" i="3"/>
  <c r="M101" i="3"/>
  <c r="N101" i="3"/>
  <c r="O101" i="3"/>
  <c r="P101" i="3"/>
  <c r="Q101" i="3"/>
  <c r="R101" i="3"/>
  <c r="S101" i="3"/>
  <c r="C100" i="3"/>
  <c r="D100" i="3"/>
  <c r="E100" i="3"/>
  <c r="F100" i="3"/>
  <c r="G100" i="3"/>
  <c r="H100" i="3"/>
  <c r="I100" i="3"/>
  <c r="J100" i="3"/>
  <c r="K100" i="3"/>
  <c r="L100" i="3"/>
  <c r="M100" i="3"/>
  <c r="N100" i="3"/>
  <c r="O100" i="3"/>
  <c r="P100" i="3"/>
  <c r="Q100" i="3"/>
  <c r="R100" i="3"/>
  <c r="S100" i="3"/>
  <c r="C99" i="3"/>
  <c r="D99" i="3"/>
  <c r="E99" i="3"/>
  <c r="F99" i="3"/>
  <c r="G99" i="3"/>
  <c r="H99" i="3"/>
  <c r="I99" i="3"/>
  <c r="J99" i="3"/>
  <c r="K99" i="3"/>
  <c r="L99" i="3"/>
  <c r="M99" i="3"/>
  <c r="N99" i="3"/>
  <c r="O99" i="3"/>
  <c r="P99" i="3"/>
  <c r="Q99" i="3"/>
  <c r="R99" i="3"/>
  <c r="S99" i="3"/>
  <c r="C97" i="3"/>
  <c r="D97" i="3"/>
  <c r="E97" i="3"/>
  <c r="F97" i="3"/>
  <c r="G97" i="3"/>
  <c r="H97" i="3"/>
  <c r="I97" i="3"/>
  <c r="J97" i="3"/>
  <c r="K97" i="3"/>
  <c r="L97" i="3"/>
  <c r="M97" i="3"/>
  <c r="N97" i="3"/>
  <c r="O97" i="3"/>
  <c r="P97" i="3"/>
  <c r="Q97" i="3"/>
  <c r="R97" i="3"/>
  <c r="S97" i="3"/>
  <c r="C96" i="3"/>
  <c r="D96" i="3"/>
  <c r="E96" i="3"/>
  <c r="F96" i="3"/>
  <c r="G96" i="3"/>
  <c r="H96" i="3"/>
  <c r="I96" i="3"/>
  <c r="J96" i="3"/>
  <c r="K96" i="3"/>
  <c r="L96" i="3"/>
  <c r="M96" i="3"/>
  <c r="N96" i="3"/>
  <c r="O96" i="3"/>
  <c r="P96" i="3"/>
  <c r="Q96" i="3"/>
  <c r="R96" i="3"/>
  <c r="S96" i="3"/>
  <c r="C95" i="3"/>
  <c r="D95" i="3"/>
  <c r="E95" i="3"/>
  <c r="F95" i="3"/>
  <c r="G95" i="3"/>
  <c r="H95" i="3"/>
  <c r="I95" i="3"/>
  <c r="J95" i="3"/>
  <c r="K95" i="3"/>
  <c r="L95" i="3"/>
  <c r="M95" i="3"/>
  <c r="N95" i="3"/>
  <c r="O95" i="3"/>
  <c r="P95" i="3"/>
  <c r="Q95" i="3"/>
  <c r="R95" i="3"/>
  <c r="S95" i="3"/>
  <c r="C93" i="3"/>
  <c r="D93" i="3"/>
  <c r="E93" i="3"/>
  <c r="F93" i="3"/>
  <c r="G93" i="3"/>
  <c r="H93" i="3"/>
  <c r="I93" i="3"/>
  <c r="J93" i="3"/>
  <c r="K93" i="3"/>
  <c r="L93" i="3"/>
  <c r="M93" i="3"/>
  <c r="N93" i="3"/>
  <c r="O93" i="3"/>
  <c r="P93" i="3"/>
  <c r="Q93" i="3"/>
  <c r="R93" i="3"/>
  <c r="S93" i="3"/>
  <c r="C92" i="3"/>
  <c r="D92" i="3"/>
  <c r="E92" i="3"/>
  <c r="F92" i="3"/>
  <c r="G92" i="3"/>
  <c r="H92" i="3"/>
  <c r="I92" i="3"/>
  <c r="J92" i="3"/>
  <c r="K92" i="3"/>
  <c r="L92" i="3"/>
  <c r="M92" i="3"/>
  <c r="N92" i="3"/>
  <c r="O92" i="3"/>
  <c r="P92" i="3"/>
  <c r="Q92" i="3"/>
  <c r="R92" i="3"/>
  <c r="S92" i="3"/>
  <c r="C91" i="3"/>
  <c r="D91" i="3"/>
  <c r="E91" i="3"/>
  <c r="F91" i="3"/>
  <c r="G91" i="3"/>
  <c r="H91" i="3"/>
  <c r="I91" i="3"/>
  <c r="J91" i="3"/>
  <c r="K91" i="3"/>
  <c r="L91" i="3"/>
  <c r="M91" i="3"/>
  <c r="N91" i="3"/>
  <c r="O91" i="3"/>
  <c r="P91" i="3"/>
  <c r="Q91" i="3"/>
  <c r="R91" i="3"/>
  <c r="S91" i="3"/>
  <c r="C89" i="3"/>
  <c r="D89" i="3"/>
  <c r="E89" i="3"/>
  <c r="F89" i="3"/>
  <c r="G89" i="3"/>
  <c r="H89" i="3"/>
  <c r="I89" i="3"/>
  <c r="J89" i="3"/>
  <c r="K89" i="3"/>
  <c r="L89" i="3"/>
  <c r="M89" i="3"/>
  <c r="N89" i="3"/>
  <c r="O89" i="3"/>
  <c r="P89" i="3"/>
  <c r="Q89" i="3"/>
  <c r="R89" i="3"/>
  <c r="S89" i="3"/>
  <c r="C88" i="3"/>
  <c r="D88" i="3"/>
  <c r="E88" i="3"/>
  <c r="F88" i="3"/>
  <c r="G88" i="3"/>
  <c r="H88" i="3"/>
  <c r="I88" i="3"/>
  <c r="J88" i="3"/>
  <c r="K88" i="3"/>
  <c r="L88" i="3"/>
  <c r="M88" i="3"/>
  <c r="N88" i="3"/>
  <c r="O88" i="3"/>
  <c r="P88" i="3"/>
  <c r="Q88" i="3"/>
  <c r="R88" i="3"/>
  <c r="S88" i="3"/>
  <c r="C87" i="3"/>
  <c r="D87" i="3"/>
  <c r="E87" i="3"/>
  <c r="F87" i="3"/>
  <c r="G87" i="3"/>
  <c r="H87" i="3"/>
  <c r="I87" i="3"/>
  <c r="J87" i="3"/>
  <c r="K87" i="3"/>
  <c r="L87" i="3"/>
  <c r="M87" i="3"/>
  <c r="N87" i="3"/>
  <c r="O87" i="3"/>
  <c r="P87" i="3"/>
  <c r="Q87" i="3"/>
  <c r="R87" i="3"/>
  <c r="S87" i="3"/>
  <c r="C85" i="3"/>
  <c r="D85" i="3"/>
  <c r="E85" i="3"/>
  <c r="F85" i="3"/>
  <c r="G85" i="3"/>
  <c r="H85" i="3"/>
  <c r="I85" i="3"/>
  <c r="J85" i="3"/>
  <c r="K85" i="3"/>
  <c r="L85" i="3"/>
  <c r="M85" i="3"/>
  <c r="N85" i="3"/>
  <c r="O85" i="3"/>
  <c r="P85" i="3"/>
  <c r="Q85" i="3"/>
  <c r="R85" i="3"/>
  <c r="S85" i="3"/>
  <c r="C84" i="3"/>
  <c r="D84" i="3"/>
  <c r="E84" i="3"/>
  <c r="F84" i="3"/>
  <c r="G84" i="3"/>
  <c r="H84" i="3"/>
  <c r="I84" i="3"/>
  <c r="J84" i="3"/>
  <c r="K84" i="3"/>
  <c r="L84" i="3"/>
  <c r="M84" i="3"/>
  <c r="N84" i="3"/>
  <c r="O84" i="3"/>
  <c r="P84" i="3"/>
  <c r="Q84" i="3"/>
  <c r="R84" i="3"/>
  <c r="S84" i="3"/>
  <c r="C83" i="3"/>
  <c r="D83" i="3"/>
  <c r="E83" i="3"/>
  <c r="F83" i="3"/>
  <c r="G83" i="3"/>
  <c r="H83" i="3"/>
  <c r="I83" i="3"/>
  <c r="J83" i="3"/>
  <c r="K83" i="3"/>
  <c r="L83" i="3"/>
  <c r="M83" i="3"/>
  <c r="N83" i="3"/>
  <c r="O83" i="3"/>
  <c r="P83" i="3"/>
  <c r="Q83" i="3"/>
  <c r="R83" i="3"/>
  <c r="S83" i="3"/>
  <c r="B121" i="3"/>
  <c r="B120" i="3"/>
  <c r="B119" i="3"/>
  <c r="B117" i="3"/>
  <c r="B116" i="3"/>
  <c r="B115" i="3"/>
  <c r="B113" i="3"/>
  <c r="B112" i="3"/>
  <c r="B111" i="3"/>
  <c r="B109" i="3"/>
  <c r="B108" i="3"/>
  <c r="B107" i="3"/>
  <c r="B105" i="3"/>
  <c r="B104" i="3"/>
  <c r="B103" i="3"/>
  <c r="B87" i="3"/>
  <c r="B91" i="3"/>
  <c r="B95" i="3"/>
  <c r="B99" i="3"/>
  <c r="B101" i="3"/>
  <c r="B100" i="3"/>
  <c r="B97" i="3"/>
  <c r="B96" i="3"/>
  <c r="B93" i="3"/>
  <c r="B92" i="3"/>
  <c r="B89" i="3"/>
  <c r="B88" i="3"/>
  <c r="B85" i="3"/>
  <c r="B84" i="3"/>
  <c r="B83" i="3"/>
  <c r="C81" i="3"/>
  <c r="D81" i="3"/>
  <c r="E81" i="3"/>
  <c r="F81" i="3"/>
  <c r="G81" i="3"/>
  <c r="H81" i="3"/>
  <c r="I81" i="3"/>
  <c r="J81" i="3"/>
  <c r="K81" i="3"/>
  <c r="L81" i="3"/>
  <c r="M81" i="3"/>
  <c r="N81" i="3"/>
  <c r="O81" i="3"/>
  <c r="P81" i="3"/>
  <c r="Q81" i="3"/>
  <c r="R81" i="3"/>
  <c r="S81" i="3"/>
  <c r="C80" i="3"/>
  <c r="D80" i="3"/>
  <c r="E80" i="3"/>
  <c r="F80" i="3"/>
  <c r="G80" i="3"/>
  <c r="H80" i="3"/>
  <c r="I80" i="3"/>
  <c r="J80" i="3"/>
  <c r="K80" i="3"/>
  <c r="L80" i="3"/>
  <c r="M80" i="3"/>
  <c r="N80" i="3"/>
  <c r="O80" i="3"/>
  <c r="P80" i="3"/>
  <c r="Q80" i="3"/>
  <c r="R80" i="3"/>
  <c r="S80" i="3"/>
  <c r="C79" i="3"/>
  <c r="D79" i="3"/>
  <c r="E79" i="3"/>
  <c r="F79" i="3"/>
  <c r="G79" i="3"/>
  <c r="H79" i="3"/>
  <c r="I79" i="3"/>
  <c r="J79" i="3"/>
  <c r="K79" i="3"/>
  <c r="L79" i="3"/>
  <c r="M79" i="3"/>
  <c r="N79" i="3"/>
  <c r="O79" i="3"/>
  <c r="P79" i="3"/>
  <c r="Q79" i="3"/>
  <c r="R79" i="3"/>
  <c r="S79" i="3"/>
  <c r="C77" i="3"/>
  <c r="D77" i="3"/>
  <c r="E77" i="3"/>
  <c r="F77" i="3"/>
  <c r="G77" i="3"/>
  <c r="H77" i="3"/>
  <c r="I77" i="3"/>
  <c r="J77" i="3"/>
  <c r="K77" i="3"/>
  <c r="L77" i="3"/>
  <c r="M77" i="3"/>
  <c r="N77" i="3"/>
  <c r="O77" i="3"/>
  <c r="P77" i="3"/>
  <c r="Q77" i="3"/>
  <c r="R77" i="3"/>
  <c r="S77" i="3"/>
  <c r="C76" i="3"/>
  <c r="D76" i="3"/>
  <c r="E76" i="3"/>
  <c r="F76" i="3"/>
  <c r="G76" i="3"/>
  <c r="H76" i="3"/>
  <c r="I76" i="3"/>
  <c r="J76" i="3"/>
  <c r="K76" i="3"/>
  <c r="L76" i="3"/>
  <c r="M76" i="3"/>
  <c r="N76" i="3"/>
  <c r="O76" i="3"/>
  <c r="P76" i="3"/>
  <c r="Q76" i="3"/>
  <c r="R76" i="3"/>
  <c r="S76" i="3"/>
  <c r="C75" i="3"/>
  <c r="D75" i="3"/>
  <c r="E75" i="3"/>
  <c r="F75" i="3"/>
  <c r="G75" i="3"/>
  <c r="H75" i="3"/>
  <c r="I75" i="3"/>
  <c r="J75" i="3"/>
  <c r="K75" i="3"/>
  <c r="L75" i="3"/>
  <c r="M75" i="3"/>
  <c r="N75" i="3"/>
  <c r="O75" i="3"/>
  <c r="P75" i="3"/>
  <c r="Q75" i="3"/>
  <c r="R75" i="3"/>
  <c r="S75" i="3"/>
  <c r="C73" i="3"/>
  <c r="D73" i="3"/>
  <c r="E73" i="3"/>
  <c r="F73" i="3"/>
  <c r="G73" i="3"/>
  <c r="H73" i="3"/>
  <c r="I73" i="3"/>
  <c r="J73" i="3"/>
  <c r="K73" i="3"/>
  <c r="L73" i="3"/>
  <c r="M73" i="3"/>
  <c r="N73" i="3"/>
  <c r="O73" i="3"/>
  <c r="P73" i="3"/>
  <c r="Q73" i="3"/>
  <c r="R73" i="3"/>
  <c r="S73" i="3"/>
  <c r="C72" i="3"/>
  <c r="D72" i="3"/>
  <c r="E72" i="3"/>
  <c r="F72" i="3"/>
  <c r="G72" i="3"/>
  <c r="H72" i="3"/>
  <c r="I72" i="3"/>
  <c r="J72" i="3"/>
  <c r="K72" i="3"/>
  <c r="L72" i="3"/>
  <c r="M72" i="3"/>
  <c r="N72" i="3"/>
  <c r="O72" i="3"/>
  <c r="P72" i="3"/>
  <c r="Q72" i="3"/>
  <c r="R72" i="3"/>
  <c r="S72" i="3"/>
  <c r="C71" i="3"/>
  <c r="D71" i="3"/>
  <c r="E71" i="3"/>
  <c r="F71" i="3"/>
  <c r="G71" i="3"/>
  <c r="H71" i="3"/>
  <c r="I71" i="3"/>
  <c r="J71" i="3"/>
  <c r="K71" i="3"/>
  <c r="L71" i="3"/>
  <c r="M71" i="3"/>
  <c r="N71" i="3"/>
  <c r="O71" i="3"/>
  <c r="P71" i="3"/>
  <c r="Q71" i="3"/>
  <c r="R71" i="3"/>
  <c r="S71" i="3"/>
  <c r="C69" i="3"/>
  <c r="D69" i="3"/>
  <c r="E69" i="3"/>
  <c r="F69" i="3"/>
  <c r="G69" i="3"/>
  <c r="H69" i="3"/>
  <c r="I69" i="3"/>
  <c r="J69" i="3"/>
  <c r="K69" i="3"/>
  <c r="L69" i="3"/>
  <c r="M69" i="3"/>
  <c r="N69" i="3"/>
  <c r="O69" i="3"/>
  <c r="P69" i="3"/>
  <c r="Q69" i="3"/>
  <c r="R69" i="3"/>
  <c r="S69" i="3"/>
  <c r="C68" i="3"/>
  <c r="D68" i="3"/>
  <c r="E68" i="3"/>
  <c r="F68" i="3"/>
  <c r="G68" i="3"/>
  <c r="H68" i="3"/>
  <c r="I68" i="3"/>
  <c r="J68" i="3"/>
  <c r="K68" i="3"/>
  <c r="L68" i="3"/>
  <c r="M68" i="3"/>
  <c r="N68" i="3"/>
  <c r="O68" i="3"/>
  <c r="P68" i="3"/>
  <c r="Q68" i="3"/>
  <c r="R68" i="3"/>
  <c r="S68" i="3"/>
  <c r="C67" i="3"/>
  <c r="D67" i="3"/>
  <c r="E67" i="3"/>
  <c r="F67" i="3"/>
  <c r="G67" i="3"/>
  <c r="H67" i="3"/>
  <c r="I67" i="3"/>
  <c r="J67" i="3"/>
  <c r="K67" i="3"/>
  <c r="L67" i="3"/>
  <c r="M67" i="3"/>
  <c r="N67" i="3"/>
  <c r="O67" i="3"/>
  <c r="P67" i="3"/>
  <c r="Q67" i="3"/>
  <c r="R67" i="3"/>
  <c r="S67" i="3"/>
  <c r="C65" i="3"/>
  <c r="D65" i="3"/>
  <c r="E65" i="3"/>
  <c r="F65" i="3"/>
  <c r="G65" i="3"/>
  <c r="H65" i="3"/>
  <c r="I65" i="3"/>
  <c r="J65" i="3"/>
  <c r="K65" i="3"/>
  <c r="L65" i="3"/>
  <c r="M65" i="3"/>
  <c r="N65" i="3"/>
  <c r="O65" i="3"/>
  <c r="P65" i="3"/>
  <c r="Q65" i="3"/>
  <c r="R65" i="3"/>
  <c r="S65" i="3"/>
  <c r="C64" i="3"/>
  <c r="D64" i="3"/>
  <c r="E64" i="3"/>
  <c r="F64" i="3"/>
  <c r="G64" i="3"/>
  <c r="H64" i="3"/>
  <c r="I64" i="3"/>
  <c r="J64" i="3"/>
  <c r="K64" i="3"/>
  <c r="L64" i="3"/>
  <c r="M64" i="3"/>
  <c r="N64" i="3"/>
  <c r="O64" i="3"/>
  <c r="P64" i="3"/>
  <c r="Q64" i="3"/>
  <c r="R64" i="3"/>
  <c r="S64" i="3"/>
  <c r="C63" i="3"/>
  <c r="D63" i="3"/>
  <c r="E63" i="3"/>
  <c r="F63" i="3"/>
  <c r="G63" i="3"/>
  <c r="H63" i="3"/>
  <c r="I63" i="3"/>
  <c r="J63" i="3"/>
  <c r="K63" i="3"/>
  <c r="L63" i="3"/>
  <c r="M63" i="3"/>
  <c r="N63" i="3"/>
  <c r="O63" i="3"/>
  <c r="P63" i="3"/>
  <c r="Q63" i="3"/>
  <c r="R63" i="3"/>
  <c r="S63" i="3"/>
  <c r="C61" i="3"/>
  <c r="D61" i="3"/>
  <c r="E61" i="3"/>
  <c r="F61" i="3"/>
  <c r="G61" i="3"/>
  <c r="H61" i="3"/>
  <c r="I61" i="3"/>
  <c r="J61" i="3"/>
  <c r="K61" i="3"/>
  <c r="L61" i="3"/>
  <c r="M61" i="3"/>
  <c r="N61" i="3"/>
  <c r="O61" i="3"/>
  <c r="P61" i="3"/>
  <c r="Q61" i="3"/>
  <c r="R61" i="3"/>
  <c r="S61" i="3"/>
  <c r="C60" i="3"/>
  <c r="D60" i="3"/>
  <c r="E60" i="3"/>
  <c r="F60" i="3"/>
  <c r="G60" i="3"/>
  <c r="H60" i="3"/>
  <c r="I60" i="3"/>
  <c r="J60" i="3"/>
  <c r="K60" i="3"/>
  <c r="L60" i="3"/>
  <c r="M60" i="3"/>
  <c r="N60" i="3"/>
  <c r="O60" i="3"/>
  <c r="P60" i="3"/>
  <c r="Q60" i="3"/>
  <c r="R60" i="3"/>
  <c r="S60" i="3"/>
  <c r="C59" i="3"/>
  <c r="D59" i="3"/>
  <c r="E59" i="3"/>
  <c r="F59" i="3"/>
  <c r="G59" i="3"/>
  <c r="H59" i="3"/>
  <c r="I59" i="3"/>
  <c r="J59" i="3"/>
  <c r="K59" i="3"/>
  <c r="L59" i="3"/>
  <c r="M59" i="3"/>
  <c r="N59" i="3"/>
  <c r="O59" i="3"/>
  <c r="P59" i="3"/>
  <c r="Q59" i="3"/>
  <c r="R59" i="3"/>
  <c r="S59" i="3"/>
  <c r="C57" i="3"/>
  <c r="D57" i="3"/>
  <c r="E57" i="3"/>
  <c r="F57" i="3"/>
  <c r="G57" i="3"/>
  <c r="H57" i="3"/>
  <c r="I57" i="3"/>
  <c r="J57" i="3"/>
  <c r="K57" i="3"/>
  <c r="L57" i="3"/>
  <c r="M57" i="3"/>
  <c r="N57" i="3"/>
  <c r="O57" i="3"/>
  <c r="P57" i="3"/>
  <c r="Q57" i="3"/>
  <c r="R57" i="3"/>
  <c r="S57" i="3"/>
  <c r="C56" i="3"/>
  <c r="D56" i="3"/>
  <c r="E56" i="3"/>
  <c r="F56" i="3"/>
  <c r="G56" i="3"/>
  <c r="H56" i="3"/>
  <c r="I56" i="3"/>
  <c r="J56" i="3"/>
  <c r="K56" i="3"/>
  <c r="L56" i="3"/>
  <c r="M56" i="3"/>
  <c r="N56" i="3"/>
  <c r="O56" i="3"/>
  <c r="P56" i="3"/>
  <c r="Q56" i="3"/>
  <c r="R56" i="3"/>
  <c r="S56" i="3"/>
  <c r="C55" i="3"/>
  <c r="D55" i="3"/>
  <c r="E55" i="3"/>
  <c r="F55" i="3"/>
  <c r="G55" i="3"/>
  <c r="H55" i="3"/>
  <c r="I55" i="3"/>
  <c r="J55" i="3"/>
  <c r="K55" i="3"/>
  <c r="L55" i="3"/>
  <c r="M55" i="3"/>
  <c r="N55" i="3"/>
  <c r="O55" i="3"/>
  <c r="P55" i="3"/>
  <c r="Q55" i="3"/>
  <c r="R55" i="3"/>
  <c r="S55" i="3"/>
  <c r="B81" i="3"/>
  <c r="B80" i="3"/>
  <c r="B79" i="3"/>
  <c r="B77" i="3"/>
  <c r="B76" i="3"/>
  <c r="B75" i="3"/>
  <c r="B73" i="3"/>
  <c r="B72" i="3"/>
  <c r="B71" i="3"/>
  <c r="B69" i="3"/>
  <c r="B68" i="3"/>
  <c r="B67" i="3"/>
  <c r="B65" i="3"/>
  <c r="B64" i="3"/>
  <c r="B63" i="3"/>
  <c r="B61" i="3"/>
  <c r="B60" i="3"/>
  <c r="B59" i="3"/>
  <c r="B57" i="3"/>
  <c r="B56" i="3"/>
  <c r="B55" i="3"/>
  <c r="B53" i="3"/>
  <c r="C53" i="3"/>
  <c r="D53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R53" i="3"/>
  <c r="S53" i="3"/>
  <c r="C52" i="3"/>
  <c r="D52" i="3"/>
  <c r="E52" i="3"/>
  <c r="F52" i="3"/>
  <c r="G52" i="3"/>
  <c r="H52" i="3"/>
  <c r="I52" i="3"/>
  <c r="J52" i="3"/>
  <c r="K52" i="3"/>
  <c r="L52" i="3"/>
  <c r="M52" i="3"/>
  <c r="N52" i="3"/>
  <c r="O52" i="3"/>
  <c r="P52" i="3"/>
  <c r="Q52" i="3"/>
  <c r="R52" i="3"/>
  <c r="S52" i="3"/>
  <c r="C51" i="3"/>
  <c r="D51" i="3"/>
  <c r="E51" i="3"/>
  <c r="F51" i="3"/>
  <c r="G51" i="3"/>
  <c r="H51" i="3"/>
  <c r="I51" i="3"/>
  <c r="J51" i="3"/>
  <c r="K51" i="3"/>
  <c r="L51" i="3"/>
  <c r="M51" i="3"/>
  <c r="N51" i="3"/>
  <c r="O51" i="3"/>
  <c r="P51" i="3"/>
  <c r="Q51" i="3"/>
  <c r="R51" i="3"/>
  <c r="S51" i="3"/>
  <c r="B52" i="3"/>
  <c r="B51" i="3"/>
  <c r="C49" i="3"/>
  <c r="D49" i="3"/>
  <c r="E49" i="3"/>
  <c r="F49" i="3"/>
  <c r="G49" i="3"/>
  <c r="H49" i="3"/>
  <c r="I49" i="3"/>
  <c r="J49" i="3"/>
  <c r="K49" i="3"/>
  <c r="L49" i="3"/>
  <c r="M49" i="3"/>
  <c r="N49" i="3"/>
  <c r="O49" i="3"/>
  <c r="P49" i="3"/>
  <c r="Q49" i="3"/>
  <c r="R49" i="3"/>
  <c r="S49" i="3"/>
  <c r="C48" i="3"/>
  <c r="D48" i="3"/>
  <c r="E48" i="3"/>
  <c r="F48" i="3"/>
  <c r="G48" i="3"/>
  <c r="H48" i="3"/>
  <c r="I48" i="3"/>
  <c r="J48" i="3"/>
  <c r="K48" i="3"/>
  <c r="L48" i="3"/>
  <c r="M48" i="3"/>
  <c r="N48" i="3"/>
  <c r="O48" i="3"/>
  <c r="P48" i="3"/>
  <c r="Q48" i="3"/>
  <c r="R48" i="3"/>
  <c r="S48" i="3"/>
  <c r="C47" i="3"/>
  <c r="D47" i="3"/>
  <c r="E47" i="3"/>
  <c r="F47" i="3"/>
  <c r="G47" i="3"/>
  <c r="H47" i="3"/>
  <c r="I47" i="3"/>
  <c r="J47" i="3"/>
  <c r="K47" i="3"/>
  <c r="L47" i="3"/>
  <c r="M47" i="3"/>
  <c r="N47" i="3"/>
  <c r="O47" i="3"/>
  <c r="P47" i="3"/>
  <c r="Q47" i="3"/>
  <c r="R47" i="3"/>
  <c r="S47" i="3"/>
  <c r="B49" i="3"/>
  <c r="B48" i="3"/>
  <c r="B47" i="3"/>
  <c r="C45" i="3"/>
  <c r="D45" i="3"/>
  <c r="E45" i="3"/>
  <c r="F45" i="3"/>
  <c r="G45" i="3"/>
  <c r="H45" i="3"/>
  <c r="I45" i="3"/>
  <c r="J45" i="3"/>
  <c r="K45" i="3"/>
  <c r="L45" i="3"/>
  <c r="M45" i="3"/>
  <c r="N45" i="3"/>
  <c r="O45" i="3"/>
  <c r="P45" i="3"/>
  <c r="Q45" i="3"/>
  <c r="R45" i="3"/>
  <c r="S45" i="3"/>
  <c r="C44" i="3"/>
  <c r="D44" i="3"/>
  <c r="E44" i="3"/>
  <c r="F44" i="3"/>
  <c r="G44" i="3"/>
  <c r="H44" i="3"/>
  <c r="I44" i="3"/>
  <c r="J44" i="3"/>
  <c r="K44" i="3"/>
  <c r="L44" i="3"/>
  <c r="M44" i="3"/>
  <c r="N44" i="3"/>
  <c r="O44" i="3"/>
  <c r="P44" i="3"/>
  <c r="Q44" i="3"/>
  <c r="R44" i="3"/>
  <c r="S44" i="3"/>
  <c r="C43" i="3"/>
  <c r="D43" i="3"/>
  <c r="E43" i="3"/>
  <c r="F43" i="3"/>
  <c r="G43" i="3"/>
  <c r="H43" i="3"/>
  <c r="I43" i="3"/>
  <c r="J43" i="3"/>
  <c r="K43" i="3"/>
  <c r="L43" i="3"/>
  <c r="M43" i="3"/>
  <c r="N43" i="3"/>
  <c r="O43" i="3"/>
  <c r="P43" i="3"/>
  <c r="Q43" i="3"/>
  <c r="R43" i="3"/>
  <c r="S43" i="3"/>
  <c r="B45" i="3"/>
  <c r="B44" i="3"/>
  <c r="B43" i="3"/>
  <c r="C41" i="3"/>
  <c r="D41" i="3"/>
  <c r="E41" i="3"/>
  <c r="F41" i="3"/>
  <c r="G41" i="3"/>
  <c r="H41" i="3"/>
  <c r="I41" i="3"/>
  <c r="J41" i="3"/>
  <c r="K41" i="3"/>
  <c r="L41" i="3"/>
  <c r="M41" i="3"/>
  <c r="N41" i="3"/>
  <c r="O41" i="3"/>
  <c r="P41" i="3"/>
  <c r="Q41" i="3"/>
  <c r="R41" i="3"/>
  <c r="S41" i="3"/>
  <c r="C40" i="3"/>
  <c r="D40" i="3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R40" i="3"/>
  <c r="S40" i="3"/>
  <c r="C39" i="3"/>
  <c r="D39" i="3"/>
  <c r="E39" i="3"/>
  <c r="F39" i="3"/>
  <c r="G39" i="3"/>
  <c r="H39" i="3"/>
  <c r="I39" i="3"/>
  <c r="J39" i="3"/>
  <c r="K39" i="3"/>
  <c r="L39" i="3"/>
  <c r="M39" i="3"/>
  <c r="N39" i="3"/>
  <c r="O39" i="3"/>
  <c r="P39" i="3"/>
  <c r="Q39" i="3"/>
  <c r="R39" i="3"/>
  <c r="S39" i="3"/>
  <c r="B41" i="3"/>
  <c r="B40" i="3"/>
  <c r="B39" i="3"/>
  <c r="C37" i="3"/>
  <c r="D37" i="3"/>
  <c r="E37" i="3"/>
  <c r="F37" i="3"/>
  <c r="G37" i="3"/>
  <c r="H37" i="3"/>
  <c r="I37" i="3"/>
  <c r="J37" i="3"/>
  <c r="K37" i="3"/>
  <c r="L37" i="3"/>
  <c r="M37" i="3"/>
  <c r="N37" i="3"/>
  <c r="O37" i="3"/>
  <c r="P37" i="3"/>
  <c r="Q37" i="3"/>
  <c r="R37" i="3"/>
  <c r="S37" i="3"/>
  <c r="C36" i="3"/>
  <c r="D36" i="3"/>
  <c r="E36" i="3"/>
  <c r="F36" i="3"/>
  <c r="G36" i="3"/>
  <c r="H36" i="3"/>
  <c r="I36" i="3"/>
  <c r="J36" i="3"/>
  <c r="K36" i="3"/>
  <c r="L36" i="3"/>
  <c r="M36" i="3"/>
  <c r="N36" i="3"/>
  <c r="O36" i="3"/>
  <c r="P36" i="3"/>
  <c r="Q36" i="3"/>
  <c r="R36" i="3"/>
  <c r="S36" i="3"/>
  <c r="C35" i="3"/>
  <c r="D35" i="3"/>
  <c r="E35" i="3"/>
  <c r="F35" i="3"/>
  <c r="G35" i="3"/>
  <c r="H35" i="3"/>
  <c r="I35" i="3"/>
  <c r="J35" i="3"/>
  <c r="K35" i="3"/>
  <c r="L35" i="3"/>
  <c r="M35" i="3"/>
  <c r="N35" i="3"/>
  <c r="O35" i="3"/>
  <c r="P35" i="3"/>
  <c r="Q35" i="3"/>
  <c r="R35" i="3"/>
  <c r="S35" i="3"/>
  <c r="B37" i="3"/>
  <c r="B36" i="3"/>
  <c r="B35" i="3"/>
  <c r="C33" i="3"/>
  <c r="D33" i="3"/>
  <c r="E33" i="3"/>
  <c r="F33" i="3"/>
  <c r="G33" i="3"/>
  <c r="H33" i="3"/>
  <c r="I33" i="3"/>
  <c r="J33" i="3"/>
  <c r="K33" i="3"/>
  <c r="L33" i="3"/>
  <c r="M33" i="3"/>
  <c r="N33" i="3"/>
  <c r="O33" i="3"/>
  <c r="P33" i="3"/>
  <c r="Q33" i="3"/>
  <c r="R33" i="3"/>
  <c r="S33" i="3"/>
  <c r="C32" i="3"/>
  <c r="D32" i="3"/>
  <c r="E32" i="3"/>
  <c r="F32" i="3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C31" i="3"/>
  <c r="D31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B33" i="3"/>
  <c r="B32" i="3"/>
  <c r="B31" i="3"/>
  <c r="C29" i="3"/>
  <c r="D29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C28" i="3"/>
  <c r="D28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C27" i="3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B29" i="3"/>
  <c r="B28" i="3"/>
  <c r="B27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B25" i="3"/>
  <c r="B24" i="3"/>
  <c r="B23" i="3"/>
  <c r="C21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B21" i="3"/>
  <c r="B20" i="3"/>
  <c r="B19" i="3"/>
  <c r="C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C16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B17" i="3"/>
  <c r="B16" i="3"/>
  <c r="B15" i="3"/>
  <c r="C13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C12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B12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B13" i="3"/>
  <c r="B11" i="3"/>
  <c r="C9" i="3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C8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C7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B9" i="3"/>
  <c r="B8" i="3"/>
  <c r="B7" i="3"/>
  <c r="D275" i="3"/>
  <c r="E275" i="3"/>
  <c r="F275" i="3"/>
  <c r="G275" i="3"/>
  <c r="H275" i="3"/>
  <c r="I275" i="3"/>
  <c r="J275" i="3"/>
  <c r="K275" i="3"/>
  <c r="L275" i="3"/>
  <c r="M275" i="3"/>
  <c r="N275" i="3"/>
  <c r="O275" i="3"/>
  <c r="P275" i="3"/>
  <c r="Q275" i="3"/>
  <c r="R275" i="3"/>
  <c r="S275" i="3"/>
  <c r="C275" i="3"/>
  <c r="C5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C4" i="3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S3" i="3"/>
  <c r="C3" i="3"/>
  <c r="D3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B3" i="3"/>
  <c r="B5" i="3"/>
  <c r="B4" i="3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72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Y62" i="2"/>
  <c r="Y63" i="2"/>
  <c r="Y64" i="2"/>
  <c r="Y65" i="2"/>
  <c r="Y66" i="2"/>
  <c r="Y67" i="2"/>
  <c r="Y68" i="2"/>
  <c r="Y69" i="2"/>
  <c r="Y70" i="2"/>
  <c r="Y71" i="2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72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72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72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72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X2" i="2"/>
  <c r="V2" i="2"/>
  <c r="W2" i="2"/>
  <c r="Y2" i="2"/>
  <c r="U2" i="2"/>
  <c r="C204" i="1"/>
  <c r="D204" i="1"/>
  <c r="E204" i="1"/>
  <c r="F204" i="1"/>
  <c r="G204" i="1"/>
  <c r="H204" i="1"/>
  <c r="I204" i="1"/>
  <c r="J204" i="1"/>
  <c r="K204" i="1"/>
  <c r="L204" i="1"/>
  <c r="M204" i="1"/>
  <c r="N204" i="1"/>
  <c r="O204" i="1"/>
  <c r="P204" i="1"/>
  <c r="Q204" i="1"/>
  <c r="R204" i="1"/>
  <c r="S204" i="1"/>
  <c r="B204" i="1"/>
  <c r="C203" i="1"/>
  <c r="D203" i="1"/>
  <c r="E203" i="1"/>
  <c r="F203" i="1"/>
  <c r="G203" i="1"/>
  <c r="H203" i="1"/>
  <c r="I203" i="1"/>
  <c r="J203" i="1"/>
  <c r="K203" i="1"/>
  <c r="L203" i="1"/>
  <c r="M203" i="1"/>
  <c r="N203" i="1"/>
  <c r="O203" i="1"/>
  <c r="P203" i="1"/>
  <c r="Q203" i="1"/>
  <c r="R203" i="1"/>
  <c r="S203" i="1"/>
  <c r="B203" i="1"/>
  <c r="C202" i="1"/>
  <c r="D202" i="1"/>
  <c r="E202" i="1"/>
  <c r="F202" i="1"/>
  <c r="G202" i="1"/>
  <c r="H202" i="1"/>
  <c r="I202" i="1"/>
  <c r="J202" i="1"/>
  <c r="K202" i="1"/>
  <c r="L202" i="1"/>
  <c r="M202" i="1"/>
  <c r="N202" i="1"/>
  <c r="O202" i="1"/>
  <c r="P202" i="1"/>
  <c r="Q202" i="1"/>
  <c r="R202" i="1"/>
  <c r="S202" i="1"/>
  <c r="B202" i="1"/>
  <c r="C201" i="1"/>
  <c r="D201" i="1"/>
  <c r="E201" i="1"/>
  <c r="F201" i="1"/>
  <c r="G201" i="1"/>
  <c r="H201" i="1"/>
  <c r="I201" i="1"/>
  <c r="J201" i="1"/>
  <c r="K201" i="1"/>
  <c r="L201" i="1"/>
  <c r="M201" i="1"/>
  <c r="N201" i="1"/>
  <c r="O201" i="1"/>
  <c r="P201" i="1"/>
  <c r="Q201" i="1"/>
  <c r="R201" i="1"/>
  <c r="S201" i="1"/>
  <c r="B201" i="1"/>
  <c r="C200" i="1"/>
  <c r="D200" i="1"/>
  <c r="E200" i="1"/>
  <c r="F200" i="1"/>
  <c r="G200" i="1"/>
  <c r="H200" i="1"/>
  <c r="I200" i="1"/>
  <c r="J200" i="1"/>
  <c r="K200" i="1"/>
  <c r="L200" i="1"/>
  <c r="M200" i="1"/>
  <c r="N200" i="1"/>
  <c r="O200" i="1"/>
  <c r="P200" i="1"/>
  <c r="Q200" i="1"/>
  <c r="R200" i="1"/>
  <c r="S200" i="1"/>
  <c r="B200" i="1"/>
  <c r="C199" i="1"/>
  <c r="D199" i="1"/>
  <c r="E199" i="1"/>
  <c r="F199" i="1"/>
  <c r="G199" i="1"/>
  <c r="H199" i="1"/>
  <c r="I199" i="1"/>
  <c r="J199" i="1"/>
  <c r="K199" i="1"/>
  <c r="L199" i="1"/>
  <c r="M199" i="1"/>
  <c r="N199" i="1"/>
  <c r="O199" i="1"/>
  <c r="P199" i="1"/>
  <c r="Q199" i="1"/>
  <c r="R199" i="1"/>
  <c r="S199" i="1"/>
  <c r="B199" i="1"/>
  <c r="C198" i="1"/>
  <c r="D198" i="1"/>
  <c r="E198" i="1"/>
  <c r="F198" i="1"/>
  <c r="G198" i="1"/>
  <c r="H198" i="1"/>
  <c r="I198" i="1"/>
  <c r="J198" i="1"/>
  <c r="K198" i="1"/>
  <c r="L198" i="1"/>
  <c r="M198" i="1"/>
  <c r="N198" i="1"/>
  <c r="O198" i="1"/>
  <c r="P198" i="1"/>
  <c r="Q198" i="1"/>
  <c r="R198" i="1"/>
  <c r="S198" i="1"/>
  <c r="B198" i="1"/>
  <c r="C197" i="1"/>
  <c r="D197" i="1"/>
  <c r="E197" i="1"/>
  <c r="F197" i="1"/>
  <c r="G197" i="1"/>
  <c r="H197" i="1"/>
  <c r="I197" i="1"/>
  <c r="J197" i="1"/>
  <c r="K197" i="1"/>
  <c r="L197" i="1"/>
  <c r="M197" i="1"/>
  <c r="N197" i="1"/>
  <c r="O197" i="1"/>
  <c r="P197" i="1"/>
  <c r="Q197" i="1"/>
  <c r="R197" i="1"/>
  <c r="S197" i="1"/>
  <c r="B197" i="1"/>
  <c r="C196" i="1"/>
  <c r="D196" i="1"/>
  <c r="E196" i="1"/>
  <c r="F196" i="1"/>
  <c r="G196" i="1"/>
  <c r="H196" i="1"/>
  <c r="I196" i="1"/>
  <c r="J196" i="1"/>
  <c r="K196" i="1"/>
  <c r="L196" i="1"/>
  <c r="M196" i="1"/>
  <c r="N196" i="1"/>
  <c r="O196" i="1"/>
  <c r="P196" i="1"/>
  <c r="Q196" i="1"/>
  <c r="R196" i="1"/>
  <c r="S196" i="1"/>
  <c r="B196" i="1"/>
  <c r="C132" i="1"/>
  <c r="D132" i="1"/>
  <c r="E132" i="1"/>
  <c r="F132" i="1"/>
  <c r="G132" i="1"/>
  <c r="H132" i="1"/>
  <c r="I132" i="1"/>
  <c r="J132" i="1"/>
  <c r="K132" i="1"/>
  <c r="L132" i="1"/>
  <c r="M132" i="1"/>
  <c r="N132" i="1"/>
  <c r="O132" i="1"/>
  <c r="P132" i="1"/>
  <c r="Q132" i="1"/>
  <c r="R132" i="1"/>
  <c r="S132" i="1"/>
  <c r="B132" i="1"/>
  <c r="C195" i="1"/>
  <c r="D195" i="1"/>
  <c r="E195" i="1"/>
  <c r="F195" i="1"/>
  <c r="G195" i="1"/>
  <c r="H195" i="1"/>
  <c r="I195" i="1"/>
  <c r="J195" i="1"/>
  <c r="K195" i="1"/>
  <c r="L195" i="1"/>
  <c r="M195" i="1"/>
  <c r="N195" i="1"/>
  <c r="O195" i="1"/>
  <c r="P195" i="1"/>
  <c r="Q195" i="1"/>
  <c r="R195" i="1"/>
  <c r="S195" i="1"/>
  <c r="B195" i="1"/>
  <c r="C194" i="1"/>
  <c r="D194" i="1"/>
  <c r="E194" i="1"/>
  <c r="F194" i="1"/>
  <c r="G194" i="1"/>
  <c r="H194" i="1"/>
  <c r="I194" i="1"/>
  <c r="J194" i="1"/>
  <c r="K194" i="1"/>
  <c r="L194" i="1"/>
  <c r="M194" i="1"/>
  <c r="N194" i="1"/>
  <c r="O194" i="1"/>
  <c r="P194" i="1"/>
  <c r="Q194" i="1"/>
  <c r="R194" i="1"/>
  <c r="S194" i="1"/>
  <c r="B194" i="1"/>
  <c r="C193" i="1"/>
  <c r="D193" i="1"/>
  <c r="E193" i="1"/>
  <c r="F193" i="1"/>
  <c r="G193" i="1"/>
  <c r="H193" i="1"/>
  <c r="I193" i="1"/>
  <c r="J193" i="1"/>
  <c r="K193" i="1"/>
  <c r="L193" i="1"/>
  <c r="M193" i="1"/>
  <c r="N193" i="1"/>
  <c r="O193" i="1"/>
  <c r="P193" i="1"/>
  <c r="Q193" i="1"/>
  <c r="R193" i="1"/>
  <c r="S193" i="1"/>
  <c r="B193" i="1"/>
  <c r="C192" i="1"/>
  <c r="D192" i="1"/>
  <c r="E192" i="1"/>
  <c r="F192" i="1"/>
  <c r="G192" i="1"/>
  <c r="H192" i="1"/>
  <c r="I192" i="1"/>
  <c r="J192" i="1"/>
  <c r="K192" i="1"/>
  <c r="L192" i="1"/>
  <c r="M192" i="1"/>
  <c r="N192" i="1"/>
  <c r="O192" i="1"/>
  <c r="P192" i="1"/>
  <c r="Q192" i="1"/>
  <c r="R192" i="1"/>
  <c r="S192" i="1"/>
  <c r="B192" i="1"/>
  <c r="C191" i="1"/>
  <c r="D191" i="1"/>
  <c r="E191" i="1"/>
  <c r="F191" i="1"/>
  <c r="G191" i="1"/>
  <c r="H191" i="1"/>
  <c r="I191" i="1"/>
  <c r="J191" i="1"/>
  <c r="K191" i="1"/>
  <c r="L191" i="1"/>
  <c r="M191" i="1"/>
  <c r="N191" i="1"/>
  <c r="O191" i="1"/>
  <c r="P191" i="1"/>
  <c r="Q191" i="1"/>
  <c r="R191" i="1"/>
  <c r="S191" i="1"/>
  <c r="B191" i="1"/>
  <c r="C190" i="1"/>
  <c r="D190" i="1"/>
  <c r="E190" i="1"/>
  <c r="F190" i="1"/>
  <c r="G190" i="1"/>
  <c r="H190" i="1"/>
  <c r="I190" i="1"/>
  <c r="J190" i="1"/>
  <c r="K190" i="1"/>
  <c r="L190" i="1"/>
  <c r="M190" i="1"/>
  <c r="N190" i="1"/>
  <c r="O190" i="1"/>
  <c r="P190" i="1"/>
  <c r="Q190" i="1"/>
  <c r="R190" i="1"/>
  <c r="S190" i="1"/>
  <c r="B190" i="1"/>
  <c r="C189" i="1"/>
  <c r="D189" i="1"/>
  <c r="E189" i="1"/>
  <c r="F189" i="1"/>
  <c r="G189" i="1"/>
  <c r="H189" i="1"/>
  <c r="I189" i="1"/>
  <c r="J189" i="1"/>
  <c r="K189" i="1"/>
  <c r="L189" i="1"/>
  <c r="M189" i="1"/>
  <c r="N189" i="1"/>
  <c r="O189" i="1"/>
  <c r="P189" i="1"/>
  <c r="Q189" i="1"/>
  <c r="R189" i="1"/>
  <c r="S189" i="1"/>
  <c r="B189" i="1"/>
  <c r="C188" i="1"/>
  <c r="D188" i="1"/>
  <c r="E188" i="1"/>
  <c r="F188" i="1"/>
  <c r="G188" i="1"/>
  <c r="H188" i="1"/>
  <c r="I188" i="1"/>
  <c r="J188" i="1"/>
  <c r="K188" i="1"/>
  <c r="L188" i="1"/>
  <c r="M188" i="1"/>
  <c r="N188" i="1"/>
  <c r="O188" i="1"/>
  <c r="P188" i="1"/>
  <c r="Q188" i="1"/>
  <c r="R188" i="1"/>
  <c r="S188" i="1"/>
  <c r="B188" i="1"/>
  <c r="C187" i="1"/>
  <c r="D187" i="1"/>
  <c r="E187" i="1"/>
  <c r="F187" i="1"/>
  <c r="G187" i="1"/>
  <c r="H187" i="1"/>
  <c r="I187" i="1"/>
  <c r="J187" i="1"/>
  <c r="K187" i="1"/>
  <c r="L187" i="1"/>
  <c r="M187" i="1"/>
  <c r="N187" i="1"/>
  <c r="O187" i="1"/>
  <c r="P187" i="1"/>
  <c r="Q187" i="1"/>
  <c r="R187" i="1"/>
  <c r="S187" i="1"/>
  <c r="B187" i="1"/>
  <c r="C186" i="1"/>
  <c r="D186" i="1"/>
  <c r="E186" i="1"/>
  <c r="F186" i="1"/>
  <c r="G186" i="1"/>
  <c r="H186" i="1"/>
  <c r="I186" i="1"/>
  <c r="J186" i="1"/>
  <c r="K186" i="1"/>
  <c r="L186" i="1"/>
  <c r="M186" i="1"/>
  <c r="N186" i="1"/>
  <c r="O186" i="1"/>
  <c r="P186" i="1"/>
  <c r="Q186" i="1"/>
  <c r="R186" i="1"/>
  <c r="S186" i="1"/>
  <c r="B186" i="1"/>
  <c r="C185" i="1"/>
  <c r="D185" i="1"/>
  <c r="E185" i="1"/>
  <c r="F185" i="1"/>
  <c r="G185" i="1"/>
  <c r="H185" i="1"/>
  <c r="I185" i="1"/>
  <c r="J185" i="1"/>
  <c r="K185" i="1"/>
  <c r="L185" i="1"/>
  <c r="M185" i="1"/>
  <c r="N185" i="1"/>
  <c r="O185" i="1"/>
  <c r="P185" i="1"/>
  <c r="Q185" i="1"/>
  <c r="R185" i="1"/>
  <c r="S185" i="1"/>
  <c r="B185" i="1"/>
  <c r="C184" i="1"/>
  <c r="D184" i="1"/>
  <c r="E184" i="1"/>
  <c r="F184" i="1"/>
  <c r="G184" i="1"/>
  <c r="H184" i="1"/>
  <c r="I184" i="1"/>
  <c r="J184" i="1"/>
  <c r="K184" i="1"/>
  <c r="L184" i="1"/>
  <c r="M184" i="1"/>
  <c r="N184" i="1"/>
  <c r="O184" i="1"/>
  <c r="P184" i="1"/>
  <c r="Q184" i="1"/>
  <c r="R184" i="1"/>
  <c r="S184" i="1"/>
  <c r="B184" i="1"/>
  <c r="C183" i="1"/>
  <c r="D183" i="1"/>
  <c r="E183" i="1"/>
  <c r="F183" i="1"/>
  <c r="G183" i="1"/>
  <c r="H183" i="1"/>
  <c r="I183" i="1"/>
  <c r="J183" i="1"/>
  <c r="K183" i="1"/>
  <c r="L183" i="1"/>
  <c r="M183" i="1"/>
  <c r="N183" i="1"/>
  <c r="O183" i="1"/>
  <c r="P183" i="1"/>
  <c r="Q183" i="1"/>
  <c r="R183" i="1"/>
  <c r="S183" i="1"/>
  <c r="B183" i="1"/>
  <c r="C182" i="1"/>
  <c r="D182" i="1"/>
  <c r="E182" i="1"/>
  <c r="F182" i="1"/>
  <c r="G182" i="1"/>
  <c r="H182" i="1"/>
  <c r="I182" i="1"/>
  <c r="J182" i="1"/>
  <c r="K182" i="1"/>
  <c r="L182" i="1"/>
  <c r="M182" i="1"/>
  <c r="N182" i="1"/>
  <c r="O182" i="1"/>
  <c r="P182" i="1"/>
  <c r="Q182" i="1"/>
  <c r="R182" i="1"/>
  <c r="S182" i="1"/>
  <c r="B182" i="1"/>
  <c r="C181" i="1"/>
  <c r="D181" i="1"/>
  <c r="E181" i="1"/>
  <c r="F181" i="1"/>
  <c r="G181" i="1"/>
  <c r="H181" i="1"/>
  <c r="I181" i="1"/>
  <c r="J181" i="1"/>
  <c r="K181" i="1"/>
  <c r="L181" i="1"/>
  <c r="M181" i="1"/>
  <c r="N181" i="1"/>
  <c r="O181" i="1"/>
  <c r="P181" i="1"/>
  <c r="Q181" i="1"/>
  <c r="R181" i="1"/>
  <c r="S181" i="1"/>
  <c r="B181" i="1"/>
  <c r="C180" i="1"/>
  <c r="D180" i="1"/>
  <c r="E180" i="1"/>
  <c r="F180" i="1"/>
  <c r="G180" i="1"/>
  <c r="H180" i="1"/>
  <c r="I180" i="1"/>
  <c r="J180" i="1"/>
  <c r="K180" i="1"/>
  <c r="L180" i="1"/>
  <c r="M180" i="1"/>
  <c r="N180" i="1"/>
  <c r="O180" i="1"/>
  <c r="P180" i="1"/>
  <c r="Q180" i="1"/>
  <c r="R180" i="1"/>
  <c r="S180" i="1"/>
  <c r="B180" i="1"/>
  <c r="N179" i="1"/>
  <c r="O179" i="1"/>
  <c r="C178" i="1"/>
  <c r="N178" i="1"/>
  <c r="O178" i="1"/>
  <c r="C177" i="1"/>
  <c r="D177" i="1"/>
  <c r="E177" i="1"/>
  <c r="F177" i="1"/>
  <c r="G177" i="1"/>
  <c r="H177" i="1"/>
  <c r="I177" i="1"/>
  <c r="J177" i="1"/>
  <c r="K177" i="1"/>
  <c r="L177" i="1"/>
  <c r="M177" i="1"/>
  <c r="N177" i="1"/>
  <c r="O177" i="1"/>
  <c r="P177" i="1"/>
  <c r="Q177" i="1"/>
  <c r="R177" i="1"/>
  <c r="S177" i="1"/>
  <c r="B177" i="1"/>
  <c r="C166" i="1"/>
  <c r="C176" i="1"/>
  <c r="D176" i="1"/>
  <c r="E176" i="1"/>
  <c r="F176" i="1"/>
  <c r="G176" i="1"/>
  <c r="H176" i="1"/>
  <c r="I176" i="1"/>
  <c r="J176" i="1"/>
  <c r="K176" i="1"/>
  <c r="L176" i="1"/>
  <c r="M176" i="1"/>
  <c r="N176" i="1"/>
  <c r="O176" i="1"/>
  <c r="P176" i="1"/>
  <c r="Q176" i="1"/>
  <c r="R176" i="1"/>
  <c r="S176" i="1"/>
  <c r="B176" i="1"/>
  <c r="F174" i="1"/>
  <c r="C173" i="1"/>
  <c r="D173" i="1"/>
  <c r="E173" i="1"/>
  <c r="F173" i="1"/>
  <c r="G173" i="1"/>
  <c r="H173" i="1"/>
  <c r="I173" i="1"/>
  <c r="J173" i="1"/>
  <c r="K173" i="1"/>
  <c r="L173" i="1"/>
  <c r="M173" i="1"/>
  <c r="N173" i="1"/>
  <c r="O173" i="1"/>
  <c r="P173" i="1"/>
  <c r="Q173" i="1"/>
  <c r="R173" i="1"/>
  <c r="S173" i="1"/>
  <c r="B173" i="1"/>
  <c r="F172" i="1"/>
  <c r="E171" i="1"/>
  <c r="F171" i="1"/>
  <c r="C170" i="1"/>
  <c r="D170" i="1"/>
  <c r="E170" i="1"/>
  <c r="F170" i="1"/>
  <c r="G170" i="1"/>
  <c r="H170" i="1"/>
  <c r="I170" i="1"/>
  <c r="J170" i="1"/>
  <c r="K170" i="1"/>
  <c r="L170" i="1"/>
  <c r="M170" i="1"/>
  <c r="N170" i="1"/>
  <c r="O170" i="1"/>
  <c r="P170" i="1"/>
  <c r="Q170" i="1"/>
  <c r="R170" i="1"/>
  <c r="S170" i="1"/>
  <c r="B170" i="1"/>
  <c r="L169" i="1"/>
  <c r="C168" i="1"/>
  <c r="D168" i="1"/>
  <c r="E168" i="1"/>
  <c r="F168" i="1"/>
  <c r="G168" i="1"/>
  <c r="H168" i="1"/>
  <c r="I168" i="1"/>
  <c r="J168" i="1"/>
  <c r="K168" i="1"/>
  <c r="L168" i="1"/>
  <c r="M168" i="1"/>
  <c r="N168" i="1"/>
  <c r="O168" i="1"/>
  <c r="P168" i="1"/>
  <c r="Q168" i="1"/>
  <c r="R168" i="1"/>
  <c r="S168" i="1"/>
  <c r="B168" i="1"/>
  <c r="C167" i="1"/>
  <c r="D167" i="1"/>
  <c r="E167" i="1"/>
  <c r="F167" i="1"/>
  <c r="G167" i="1"/>
  <c r="H167" i="1"/>
  <c r="I167" i="1"/>
  <c r="J167" i="1"/>
  <c r="K167" i="1"/>
  <c r="L167" i="1"/>
  <c r="M167" i="1"/>
  <c r="N167" i="1"/>
  <c r="O167" i="1"/>
  <c r="P167" i="1"/>
  <c r="Q167" i="1"/>
  <c r="R167" i="1"/>
  <c r="S167" i="1"/>
  <c r="B167" i="1"/>
  <c r="D166" i="1"/>
  <c r="E166" i="1"/>
  <c r="F166" i="1"/>
  <c r="G166" i="1"/>
  <c r="H166" i="1"/>
  <c r="I166" i="1"/>
  <c r="J166" i="1"/>
  <c r="K166" i="1"/>
  <c r="L166" i="1"/>
  <c r="M166" i="1"/>
  <c r="N166" i="1"/>
  <c r="O166" i="1"/>
  <c r="P166" i="1"/>
  <c r="Q166" i="1"/>
  <c r="R166" i="1"/>
  <c r="S166" i="1"/>
  <c r="B166" i="1"/>
  <c r="C165" i="1"/>
  <c r="D165" i="1"/>
  <c r="E165" i="1"/>
  <c r="F165" i="1"/>
  <c r="G165" i="1"/>
  <c r="H165" i="1"/>
  <c r="I165" i="1"/>
  <c r="J165" i="1"/>
  <c r="K165" i="1"/>
  <c r="L165" i="1"/>
  <c r="M165" i="1"/>
  <c r="N165" i="1"/>
  <c r="O165" i="1"/>
  <c r="P165" i="1"/>
  <c r="Q165" i="1"/>
  <c r="R165" i="1"/>
  <c r="S165" i="1"/>
  <c r="B165" i="1"/>
  <c r="C164" i="1"/>
  <c r="D164" i="1"/>
  <c r="E164" i="1"/>
  <c r="F164" i="1"/>
  <c r="G164" i="1"/>
  <c r="H164" i="1"/>
  <c r="I164" i="1"/>
  <c r="J164" i="1"/>
  <c r="K164" i="1"/>
  <c r="L164" i="1"/>
  <c r="M164" i="1"/>
  <c r="N164" i="1"/>
  <c r="O164" i="1"/>
  <c r="P164" i="1"/>
  <c r="Q164" i="1"/>
  <c r="R164" i="1"/>
  <c r="B164" i="1"/>
  <c r="G163" i="1"/>
  <c r="H162" i="1"/>
  <c r="N162" i="1"/>
  <c r="H161" i="1"/>
  <c r="I161" i="1"/>
  <c r="O161" i="1"/>
  <c r="G160" i="1"/>
  <c r="H160" i="1"/>
  <c r="N160" i="1"/>
  <c r="H159" i="1"/>
  <c r="I159" i="1"/>
  <c r="N157" i="1"/>
  <c r="C135" i="1"/>
  <c r="D135" i="1"/>
  <c r="E135" i="1"/>
  <c r="F135" i="1"/>
  <c r="G135" i="1"/>
  <c r="H135" i="1"/>
  <c r="I135" i="1"/>
  <c r="J135" i="1"/>
  <c r="K135" i="1"/>
  <c r="L135" i="1"/>
  <c r="M135" i="1"/>
  <c r="N135" i="1"/>
  <c r="O135" i="1"/>
  <c r="P135" i="1"/>
  <c r="Q135" i="1"/>
  <c r="R135" i="1"/>
  <c r="S135" i="1"/>
  <c r="C136" i="1"/>
  <c r="D136" i="1"/>
  <c r="E136" i="1"/>
  <c r="F136" i="1"/>
  <c r="G136" i="1"/>
  <c r="H136" i="1"/>
  <c r="I136" i="1"/>
  <c r="J136" i="1"/>
  <c r="K136" i="1"/>
  <c r="L136" i="1"/>
  <c r="M136" i="1"/>
  <c r="N136" i="1"/>
  <c r="O136" i="1"/>
  <c r="P136" i="1"/>
  <c r="Q136" i="1"/>
  <c r="R136" i="1"/>
  <c r="S136" i="1"/>
  <c r="C137" i="1"/>
  <c r="D137" i="1"/>
  <c r="E137" i="1"/>
  <c r="F137" i="1"/>
  <c r="G137" i="1"/>
  <c r="H137" i="1"/>
  <c r="I137" i="1"/>
  <c r="J137" i="1"/>
  <c r="K137" i="1"/>
  <c r="L137" i="1"/>
  <c r="M137" i="1"/>
  <c r="N137" i="1"/>
  <c r="O137" i="1"/>
  <c r="P137" i="1"/>
  <c r="Q137" i="1"/>
  <c r="R137" i="1"/>
  <c r="S137" i="1"/>
  <c r="C138" i="1"/>
  <c r="J138" i="1"/>
  <c r="C139" i="1"/>
  <c r="D139" i="1"/>
  <c r="E139" i="1"/>
  <c r="F139" i="1"/>
  <c r="G139" i="1"/>
  <c r="H139" i="1"/>
  <c r="I139" i="1"/>
  <c r="J139" i="1"/>
  <c r="K139" i="1"/>
  <c r="L139" i="1"/>
  <c r="M139" i="1"/>
  <c r="N139" i="1"/>
  <c r="O139" i="1"/>
  <c r="P139" i="1"/>
  <c r="Q139" i="1"/>
  <c r="R139" i="1"/>
  <c r="S139" i="1"/>
  <c r="C140" i="1"/>
  <c r="D140" i="1"/>
  <c r="E140" i="1"/>
  <c r="F140" i="1"/>
  <c r="G140" i="1"/>
  <c r="H140" i="1"/>
  <c r="I140" i="1"/>
  <c r="J140" i="1"/>
  <c r="K140" i="1"/>
  <c r="L140" i="1"/>
  <c r="M140" i="1"/>
  <c r="N140" i="1"/>
  <c r="O140" i="1"/>
  <c r="P140" i="1"/>
  <c r="Q140" i="1"/>
  <c r="R140" i="1"/>
  <c r="S140" i="1"/>
  <c r="C141" i="1"/>
  <c r="D141" i="1"/>
  <c r="E141" i="1"/>
  <c r="F141" i="1"/>
  <c r="G141" i="1"/>
  <c r="H141" i="1"/>
  <c r="I141" i="1"/>
  <c r="J141" i="1"/>
  <c r="K141" i="1"/>
  <c r="L141" i="1"/>
  <c r="M141" i="1"/>
  <c r="N141" i="1"/>
  <c r="O141" i="1"/>
  <c r="P141" i="1"/>
  <c r="Q141" i="1"/>
  <c r="R141" i="1"/>
  <c r="S141" i="1"/>
  <c r="C142" i="1"/>
  <c r="D142" i="1"/>
  <c r="E142" i="1"/>
  <c r="F142" i="1"/>
  <c r="G142" i="1"/>
  <c r="H142" i="1"/>
  <c r="I142" i="1"/>
  <c r="J142" i="1"/>
  <c r="K142" i="1"/>
  <c r="L142" i="1"/>
  <c r="M142" i="1"/>
  <c r="N142" i="1"/>
  <c r="O142" i="1"/>
  <c r="P142" i="1"/>
  <c r="Q142" i="1"/>
  <c r="R142" i="1"/>
  <c r="S142" i="1"/>
  <c r="C143" i="1"/>
  <c r="D143" i="1"/>
  <c r="E143" i="1"/>
  <c r="F143" i="1"/>
  <c r="G143" i="1"/>
  <c r="H143" i="1"/>
  <c r="I143" i="1"/>
  <c r="J143" i="1"/>
  <c r="K143" i="1"/>
  <c r="L143" i="1"/>
  <c r="M143" i="1"/>
  <c r="N143" i="1"/>
  <c r="O143" i="1"/>
  <c r="P143" i="1"/>
  <c r="Q143" i="1"/>
  <c r="R143" i="1"/>
  <c r="S143" i="1"/>
  <c r="C146" i="1"/>
  <c r="D146" i="1"/>
  <c r="E146" i="1"/>
  <c r="F146" i="1"/>
  <c r="G146" i="1"/>
  <c r="H146" i="1"/>
  <c r="I146" i="1"/>
  <c r="J146" i="1"/>
  <c r="K146" i="1"/>
  <c r="L146" i="1"/>
  <c r="M146" i="1"/>
  <c r="N146" i="1"/>
  <c r="O146" i="1"/>
  <c r="P146" i="1"/>
  <c r="Q146" i="1"/>
  <c r="R146" i="1"/>
  <c r="S146" i="1"/>
  <c r="C147" i="1"/>
  <c r="D147" i="1"/>
  <c r="E147" i="1"/>
  <c r="F147" i="1"/>
  <c r="G147" i="1"/>
  <c r="H147" i="1"/>
  <c r="I147" i="1"/>
  <c r="J147" i="1"/>
  <c r="K147" i="1"/>
  <c r="L147" i="1"/>
  <c r="M147" i="1"/>
  <c r="N147" i="1"/>
  <c r="O147" i="1"/>
  <c r="P147" i="1"/>
  <c r="Q147" i="1"/>
  <c r="R147" i="1"/>
  <c r="S147" i="1"/>
  <c r="C148" i="1"/>
  <c r="D148" i="1"/>
  <c r="E148" i="1"/>
  <c r="F148" i="1"/>
  <c r="G148" i="1"/>
  <c r="H148" i="1"/>
  <c r="I148" i="1"/>
  <c r="J148" i="1"/>
  <c r="K148" i="1"/>
  <c r="L148" i="1"/>
  <c r="M148" i="1"/>
  <c r="N148" i="1"/>
  <c r="O148" i="1"/>
  <c r="P148" i="1"/>
  <c r="Q148" i="1"/>
  <c r="R148" i="1"/>
  <c r="S148" i="1"/>
  <c r="H149" i="1"/>
  <c r="C150" i="1"/>
  <c r="D150" i="1"/>
  <c r="E150" i="1"/>
  <c r="F150" i="1"/>
  <c r="G150" i="1"/>
  <c r="H150" i="1"/>
  <c r="I150" i="1"/>
  <c r="J150" i="1"/>
  <c r="K150" i="1"/>
  <c r="L150" i="1"/>
  <c r="M150" i="1"/>
  <c r="N150" i="1"/>
  <c r="O150" i="1"/>
  <c r="P150" i="1"/>
  <c r="Q150" i="1"/>
  <c r="R150" i="1"/>
  <c r="S150" i="1"/>
  <c r="C151" i="1"/>
  <c r="D151" i="1"/>
  <c r="E151" i="1"/>
  <c r="F151" i="1"/>
  <c r="G151" i="1"/>
  <c r="H151" i="1"/>
  <c r="I151" i="1"/>
  <c r="J151" i="1"/>
  <c r="K151" i="1"/>
  <c r="L151" i="1"/>
  <c r="M151" i="1"/>
  <c r="N151" i="1"/>
  <c r="O151" i="1"/>
  <c r="P151" i="1"/>
  <c r="Q151" i="1"/>
  <c r="R151" i="1"/>
  <c r="S151" i="1"/>
  <c r="G153" i="1"/>
  <c r="L153" i="1"/>
  <c r="G154" i="1"/>
  <c r="H154" i="1"/>
  <c r="M154" i="1"/>
  <c r="S154" i="1"/>
  <c r="N155" i="1"/>
  <c r="C156" i="1"/>
  <c r="O156" i="1"/>
  <c r="B135" i="1"/>
  <c r="P134" i="1"/>
  <c r="S131" i="1"/>
  <c r="S149" i="1" s="1"/>
  <c r="Q131" i="1"/>
  <c r="Q149" i="1" s="1"/>
  <c r="R131" i="1"/>
  <c r="R149" i="1" s="1"/>
  <c r="P131" i="1"/>
  <c r="P149" i="1" s="1"/>
  <c r="O131" i="1"/>
  <c r="O149" i="1" s="1"/>
  <c r="M131" i="1"/>
  <c r="M149" i="1" s="1"/>
  <c r="N131" i="1"/>
  <c r="N149" i="1" s="1"/>
  <c r="L131" i="1"/>
  <c r="L149" i="1" s="1"/>
  <c r="K131" i="1"/>
  <c r="K149" i="1" s="1"/>
  <c r="I131" i="1"/>
  <c r="I149" i="1" s="1"/>
  <c r="J131" i="1"/>
  <c r="J149" i="1" s="1"/>
  <c r="H131" i="1"/>
  <c r="G131" i="1"/>
  <c r="G149" i="1" s="1"/>
  <c r="E131" i="1"/>
  <c r="E149" i="1" s="1"/>
  <c r="F131" i="1"/>
  <c r="F149" i="1" s="1"/>
  <c r="D131" i="1"/>
  <c r="D149" i="1" s="1"/>
  <c r="C131" i="1"/>
  <c r="C149" i="1" s="1"/>
  <c r="B131" i="1"/>
  <c r="B149" i="1" s="1"/>
  <c r="B148" i="1"/>
  <c r="B146" i="1"/>
  <c r="B141" i="1"/>
  <c r="S130" i="1"/>
  <c r="S175" i="1" s="1"/>
  <c r="Q130" i="1"/>
  <c r="Q138" i="1" s="1"/>
  <c r="R130" i="1"/>
  <c r="R138" i="1" s="1"/>
  <c r="P130" i="1"/>
  <c r="P160" i="1" s="1"/>
  <c r="O130" i="1"/>
  <c r="O160" i="1" s="1"/>
  <c r="M130" i="1"/>
  <c r="M175" i="1" s="1"/>
  <c r="N130" i="1"/>
  <c r="N175" i="1" s="1"/>
  <c r="L130" i="1"/>
  <c r="L138" i="1" s="1"/>
  <c r="K130" i="1"/>
  <c r="K138" i="1" s="1"/>
  <c r="I130" i="1"/>
  <c r="I160" i="1" s="1"/>
  <c r="J130" i="1"/>
  <c r="J160" i="1" s="1"/>
  <c r="H130" i="1"/>
  <c r="H175" i="1" s="1"/>
  <c r="G130" i="1"/>
  <c r="G175" i="1" s="1"/>
  <c r="E130" i="1"/>
  <c r="E138" i="1" s="1"/>
  <c r="F130" i="1"/>
  <c r="F138" i="1" s="1"/>
  <c r="D130" i="1"/>
  <c r="D160" i="1" s="1"/>
  <c r="C130" i="1"/>
  <c r="C160" i="1" s="1"/>
  <c r="B130" i="1"/>
  <c r="B175" i="1" s="1"/>
  <c r="B136" i="1"/>
  <c r="B137" i="1"/>
  <c r="Q121" i="1"/>
  <c r="Q122" i="1" s="1"/>
  <c r="R121" i="1"/>
  <c r="R122" i="1" s="1"/>
  <c r="S121" i="1"/>
  <c r="S122" i="1" s="1"/>
  <c r="P121" i="1"/>
  <c r="P122" i="1" s="1"/>
  <c r="M121" i="1"/>
  <c r="M174" i="1" s="1"/>
  <c r="N121" i="1"/>
  <c r="N122" i="1" s="1"/>
  <c r="O121" i="1"/>
  <c r="O122" i="1" s="1"/>
  <c r="L121" i="1"/>
  <c r="L122" i="1" s="1"/>
  <c r="I121" i="1"/>
  <c r="I122" i="1" s="1"/>
  <c r="J121" i="1"/>
  <c r="J174" i="1" s="1"/>
  <c r="K121" i="1"/>
  <c r="K122" i="1" s="1"/>
  <c r="H121" i="1"/>
  <c r="H122" i="1" s="1"/>
  <c r="D121" i="1"/>
  <c r="D122" i="1" s="1"/>
  <c r="E121" i="1"/>
  <c r="E122" i="1" s="1"/>
  <c r="F121" i="1"/>
  <c r="F122" i="1" s="1"/>
  <c r="G121" i="1"/>
  <c r="G122" i="1" s="1"/>
  <c r="S126" i="1"/>
  <c r="R126" i="1"/>
  <c r="Q126" i="1"/>
  <c r="P126" i="1"/>
  <c r="O126" i="1"/>
  <c r="N126" i="1"/>
  <c r="M126" i="1"/>
  <c r="L126" i="1"/>
  <c r="K126" i="1"/>
  <c r="J126" i="1"/>
  <c r="I126" i="1"/>
  <c r="H126" i="1"/>
  <c r="G126" i="1"/>
  <c r="F126" i="1"/>
  <c r="E126" i="1"/>
  <c r="D126" i="1"/>
  <c r="C126" i="1"/>
  <c r="B126" i="1"/>
  <c r="S125" i="1"/>
  <c r="S128" i="1" s="1"/>
  <c r="Q125" i="1"/>
  <c r="Q127" i="1" s="1"/>
  <c r="R125" i="1"/>
  <c r="R127" i="1" s="1"/>
  <c r="P125" i="1"/>
  <c r="P127" i="1" s="1"/>
  <c r="O125" i="1"/>
  <c r="O127" i="1" s="1"/>
  <c r="M125" i="1"/>
  <c r="N125" i="1"/>
  <c r="N127" i="1" s="1"/>
  <c r="L125" i="1"/>
  <c r="L127" i="1" s="1"/>
  <c r="K125" i="1"/>
  <c r="K128" i="1" s="1"/>
  <c r="I125" i="1"/>
  <c r="J125" i="1"/>
  <c r="J127" i="1" s="1"/>
  <c r="H125" i="1"/>
  <c r="H128" i="1" s="1"/>
  <c r="G125" i="1"/>
  <c r="G127" i="1" s="1"/>
  <c r="E125" i="1"/>
  <c r="E127" i="1" s="1"/>
  <c r="F125" i="1"/>
  <c r="F127" i="1" s="1"/>
  <c r="D125" i="1"/>
  <c r="D127" i="1" s="1"/>
  <c r="C121" i="1"/>
  <c r="C122" i="1" s="1"/>
  <c r="B121" i="1"/>
  <c r="B122" i="1" s="1"/>
  <c r="C125" i="1"/>
  <c r="B125" i="1"/>
  <c r="C124" i="1"/>
  <c r="D124" i="1"/>
  <c r="E124" i="1"/>
  <c r="F124" i="1"/>
  <c r="G124" i="1"/>
  <c r="H124" i="1"/>
  <c r="I124" i="1"/>
  <c r="J124" i="1"/>
  <c r="K124" i="1"/>
  <c r="L124" i="1"/>
  <c r="M124" i="1"/>
  <c r="N124" i="1"/>
  <c r="O124" i="1"/>
  <c r="P124" i="1"/>
  <c r="Q124" i="1"/>
  <c r="R124" i="1"/>
  <c r="S124" i="1"/>
  <c r="C123" i="1"/>
  <c r="C172" i="1" s="1"/>
  <c r="D123" i="1"/>
  <c r="D172" i="1" s="1"/>
  <c r="E123" i="1"/>
  <c r="E172" i="1" s="1"/>
  <c r="F123" i="1"/>
  <c r="G123" i="1"/>
  <c r="G172" i="1" s="1"/>
  <c r="H123" i="1"/>
  <c r="H172" i="1" s="1"/>
  <c r="I123" i="1"/>
  <c r="I172" i="1" s="1"/>
  <c r="J123" i="1"/>
  <c r="J172" i="1" s="1"/>
  <c r="K123" i="1"/>
  <c r="K172" i="1" s="1"/>
  <c r="L123" i="1"/>
  <c r="L172" i="1" s="1"/>
  <c r="M123" i="1"/>
  <c r="M172" i="1" s="1"/>
  <c r="N123" i="1"/>
  <c r="N172" i="1" s="1"/>
  <c r="O123" i="1"/>
  <c r="O172" i="1" s="1"/>
  <c r="P123" i="1"/>
  <c r="P172" i="1" s="1"/>
  <c r="Q123" i="1"/>
  <c r="Q172" i="1" s="1"/>
  <c r="R123" i="1"/>
  <c r="R172" i="1" s="1"/>
  <c r="S123" i="1"/>
  <c r="S172" i="1" s="1"/>
  <c r="M122" i="1"/>
  <c r="C120" i="1"/>
  <c r="C154" i="1" s="1"/>
  <c r="D120" i="1"/>
  <c r="D154" i="1" s="1"/>
  <c r="E120" i="1"/>
  <c r="E158" i="1" s="1"/>
  <c r="F120" i="1"/>
  <c r="F169" i="1" s="1"/>
  <c r="G120" i="1"/>
  <c r="G171" i="1" s="1"/>
  <c r="H120" i="1"/>
  <c r="H153" i="1" s="1"/>
  <c r="I120" i="1"/>
  <c r="I154" i="1" s="1"/>
  <c r="J120" i="1"/>
  <c r="J154" i="1" s="1"/>
  <c r="K120" i="1"/>
  <c r="K158" i="1" s="1"/>
  <c r="L120" i="1"/>
  <c r="K134" i="1" s="1"/>
  <c r="M120" i="1"/>
  <c r="M171" i="1" s="1"/>
  <c r="N120" i="1"/>
  <c r="N153" i="1" s="1"/>
  <c r="O120" i="1"/>
  <c r="O154" i="1" s="1"/>
  <c r="P120" i="1"/>
  <c r="P144" i="1" s="1"/>
  <c r="Q120" i="1"/>
  <c r="Q158" i="1" s="1"/>
  <c r="R120" i="1"/>
  <c r="Q134" i="1" s="1"/>
  <c r="S120" i="1"/>
  <c r="S171" i="1" s="1"/>
  <c r="C119" i="1"/>
  <c r="C161" i="1" s="1"/>
  <c r="D119" i="1"/>
  <c r="D161" i="1" s="1"/>
  <c r="E119" i="1"/>
  <c r="E144" i="1" s="1"/>
  <c r="F119" i="1"/>
  <c r="G119" i="1"/>
  <c r="G169" i="1" s="1"/>
  <c r="H119" i="1"/>
  <c r="H157" i="1" s="1"/>
  <c r="I119" i="1"/>
  <c r="J119" i="1"/>
  <c r="J161" i="1" s="1"/>
  <c r="K119" i="1"/>
  <c r="K144" i="1" s="1"/>
  <c r="L119" i="1"/>
  <c r="M119" i="1"/>
  <c r="M169" i="1" s="1"/>
  <c r="N119" i="1"/>
  <c r="O119" i="1"/>
  <c r="P119" i="1"/>
  <c r="P161" i="1" s="1"/>
  <c r="Q119" i="1"/>
  <c r="Q144" i="1" s="1"/>
  <c r="R119" i="1"/>
  <c r="R152" i="1" s="1"/>
  <c r="S119" i="1"/>
  <c r="S169" i="1" s="1"/>
  <c r="B119" i="1"/>
  <c r="B156" i="1" s="1"/>
  <c r="B124" i="1"/>
  <c r="B123" i="1"/>
  <c r="B172" i="1" s="1"/>
  <c r="B120" i="1"/>
  <c r="B157" i="1" s="1"/>
  <c r="B151" i="1"/>
  <c r="B150" i="1"/>
  <c r="B147" i="1"/>
  <c r="B143" i="1"/>
  <c r="B142" i="1"/>
  <c r="B140" i="1"/>
  <c r="B139" i="1"/>
  <c r="I237" i="5" l="1"/>
  <c r="J237" i="5" s="1"/>
  <c r="I236" i="5"/>
  <c r="J236" i="5" s="1"/>
  <c r="J200" i="5"/>
  <c r="J229" i="5"/>
  <c r="I142" i="5"/>
  <c r="I145" i="5"/>
  <c r="H148" i="5"/>
  <c r="H154" i="5"/>
  <c r="H157" i="5"/>
  <c r="H160" i="5"/>
  <c r="I163" i="5"/>
  <c r="H176" i="5"/>
  <c r="H181" i="5"/>
  <c r="H184" i="5"/>
  <c r="J184" i="5" s="1"/>
  <c r="H187" i="5"/>
  <c r="H201" i="5"/>
  <c r="J201" i="5" s="1"/>
  <c r="I209" i="5"/>
  <c r="H227" i="5"/>
  <c r="I223" i="5"/>
  <c r="J223" i="5" s="1"/>
  <c r="I155" i="5"/>
  <c r="I164" i="5"/>
  <c r="I175" i="5"/>
  <c r="I177" i="5"/>
  <c r="I200" i="5"/>
  <c r="I207" i="5"/>
  <c r="H210" i="5"/>
  <c r="I222" i="5"/>
  <c r="I226" i="5"/>
  <c r="J226" i="5" s="1"/>
  <c r="I199" i="5"/>
  <c r="J199" i="5" s="1"/>
  <c r="H230" i="5"/>
  <c r="J230" i="5" s="1"/>
  <c r="I120" i="5"/>
  <c r="H123" i="5"/>
  <c r="H126" i="5"/>
  <c r="I156" i="5"/>
  <c r="I171" i="5"/>
  <c r="H183" i="5"/>
  <c r="I186" i="5"/>
  <c r="I208" i="5"/>
  <c r="H211" i="5"/>
  <c r="I214" i="5"/>
  <c r="J214" i="5" s="1"/>
  <c r="H217" i="5"/>
  <c r="I220" i="5"/>
  <c r="J220" i="5" s="1"/>
  <c r="H225" i="5"/>
  <c r="J191" i="5"/>
  <c r="J196" i="5"/>
  <c r="I194" i="5"/>
  <c r="J194" i="5" s="1"/>
  <c r="H195" i="5"/>
  <c r="J195" i="5" s="1"/>
  <c r="H198" i="5"/>
  <c r="J198" i="5" s="1"/>
  <c r="H202" i="5"/>
  <c r="J202" i="5" s="1"/>
  <c r="H203" i="5"/>
  <c r="J203" i="5" s="1"/>
  <c r="H208" i="5"/>
  <c r="I215" i="5"/>
  <c r="J215" i="5" s="1"/>
  <c r="H218" i="5"/>
  <c r="J218" i="5" s="1"/>
  <c r="H221" i="5"/>
  <c r="J221" i="5" s="1"/>
  <c r="H224" i="5"/>
  <c r="J224" i="5" s="1"/>
  <c r="I153" i="5"/>
  <c r="H158" i="5"/>
  <c r="H167" i="5"/>
  <c r="I179" i="5"/>
  <c r="J179" i="5" s="1"/>
  <c r="J156" i="5"/>
  <c r="J181" i="5"/>
  <c r="J188" i="5"/>
  <c r="J207" i="5"/>
  <c r="J210" i="5"/>
  <c r="J217" i="5"/>
  <c r="K217" i="5" s="1"/>
  <c r="J227" i="5"/>
  <c r="J175" i="5"/>
  <c r="I191" i="5"/>
  <c r="H197" i="5"/>
  <c r="J222" i="5"/>
  <c r="I187" i="5"/>
  <c r="J187" i="5" s="1"/>
  <c r="I196" i="5"/>
  <c r="I204" i="5"/>
  <c r="J204" i="5" s="1"/>
  <c r="I205" i="5"/>
  <c r="J205" i="5" s="1"/>
  <c r="H216" i="5"/>
  <c r="I225" i="5"/>
  <c r="J225" i="5" s="1"/>
  <c r="I157" i="5"/>
  <c r="J157" i="5" s="1"/>
  <c r="H166" i="5"/>
  <c r="I169" i="5"/>
  <c r="H174" i="5"/>
  <c r="I178" i="5"/>
  <c r="H180" i="5"/>
  <c r="H182" i="5"/>
  <c r="H185" i="5"/>
  <c r="H209" i="5"/>
  <c r="J209" i="5" s="1"/>
  <c r="I211" i="5"/>
  <c r="H219" i="5"/>
  <c r="J219" i="5" s="1"/>
  <c r="H228" i="5"/>
  <c r="J228" i="5" s="1"/>
  <c r="I216" i="5"/>
  <c r="J216" i="5" s="1"/>
  <c r="I197" i="5"/>
  <c r="J172" i="5"/>
  <c r="J176" i="5"/>
  <c r="I174" i="5"/>
  <c r="H161" i="5"/>
  <c r="J161" i="5" s="1"/>
  <c r="H169" i="5"/>
  <c r="J169" i="5" s="1"/>
  <c r="H171" i="5"/>
  <c r="J171" i="5" s="1"/>
  <c r="H178" i="5"/>
  <c r="J178" i="5" s="1"/>
  <c r="I184" i="5"/>
  <c r="I193" i="5"/>
  <c r="J193" i="5" s="1"/>
  <c r="I183" i="5"/>
  <c r="J183" i="5" s="1"/>
  <c r="H190" i="5"/>
  <c r="J190" i="5" s="1"/>
  <c r="H129" i="5"/>
  <c r="H141" i="5"/>
  <c r="H162" i="5"/>
  <c r="H164" i="5"/>
  <c r="I170" i="5"/>
  <c r="H173" i="5"/>
  <c r="J173" i="5" s="1"/>
  <c r="H177" i="5"/>
  <c r="H186" i="5"/>
  <c r="I189" i="5"/>
  <c r="J189" i="5" s="1"/>
  <c r="H165" i="5"/>
  <c r="I168" i="5"/>
  <c r="I182" i="5"/>
  <c r="H192" i="5"/>
  <c r="J192" i="5" s="1"/>
  <c r="I185" i="5"/>
  <c r="I180" i="5"/>
  <c r="J164" i="5"/>
  <c r="I154" i="5"/>
  <c r="J154" i="5" s="1"/>
  <c r="I162" i="5"/>
  <c r="J162" i="5" s="1"/>
  <c r="H155" i="5"/>
  <c r="I161" i="5"/>
  <c r="H163" i="5"/>
  <c r="I166" i="5"/>
  <c r="J166" i="5" s="1"/>
  <c r="I167" i="5"/>
  <c r="J167" i="5" s="1"/>
  <c r="H159" i="5"/>
  <c r="H168" i="5"/>
  <c r="I151" i="5"/>
  <c r="I160" i="5"/>
  <c r="J160" i="5" s="1"/>
  <c r="I165" i="5"/>
  <c r="J165" i="5" s="1"/>
  <c r="H170" i="5"/>
  <c r="J170" i="5" s="1"/>
  <c r="H151" i="5"/>
  <c r="H153" i="5"/>
  <c r="J153" i="5" s="1"/>
  <c r="I159" i="5"/>
  <c r="I158" i="5"/>
  <c r="J158" i="5" s="1"/>
  <c r="I141" i="5"/>
  <c r="H152" i="5"/>
  <c r="H134" i="5"/>
  <c r="I146" i="5"/>
  <c r="H149" i="5"/>
  <c r="I152" i="5"/>
  <c r="I125" i="5"/>
  <c r="I128" i="5"/>
  <c r="H137" i="5"/>
  <c r="H142" i="5"/>
  <c r="H145" i="5"/>
  <c r="J145" i="5" s="1"/>
  <c r="I134" i="5"/>
  <c r="I148" i="5"/>
  <c r="J148" i="5" s="1"/>
  <c r="I149" i="5"/>
  <c r="H146" i="5"/>
  <c r="H97" i="5"/>
  <c r="I100" i="5"/>
  <c r="I103" i="5"/>
  <c r="H115" i="5"/>
  <c r="H130" i="5"/>
  <c r="H133" i="5"/>
  <c r="H135" i="5"/>
  <c r="H138" i="5"/>
  <c r="H147" i="5"/>
  <c r="H150" i="5"/>
  <c r="H139" i="5"/>
  <c r="J139" i="5" s="1"/>
  <c r="I150" i="5"/>
  <c r="I137" i="5"/>
  <c r="I139" i="5"/>
  <c r="H144" i="5"/>
  <c r="H127" i="5"/>
  <c r="I129" i="5"/>
  <c r="J129" i="5" s="1"/>
  <c r="H132" i="5"/>
  <c r="H140" i="5"/>
  <c r="I147" i="5"/>
  <c r="H95" i="5"/>
  <c r="H98" i="5"/>
  <c r="I104" i="5"/>
  <c r="H107" i="5"/>
  <c r="I136" i="5"/>
  <c r="I138" i="5"/>
  <c r="H143" i="5"/>
  <c r="I144" i="5"/>
  <c r="J144" i="5" s="1"/>
  <c r="H118" i="5"/>
  <c r="H121" i="5"/>
  <c r="H124" i="5"/>
  <c r="I130" i="5"/>
  <c r="I140" i="5"/>
  <c r="I143" i="5"/>
  <c r="H136" i="5"/>
  <c r="H116" i="5"/>
  <c r="H119" i="5"/>
  <c r="H131" i="5"/>
  <c r="I135" i="5"/>
  <c r="H81" i="5"/>
  <c r="I90" i="5"/>
  <c r="H93" i="5"/>
  <c r="I102" i="5"/>
  <c r="H125" i="5"/>
  <c r="H128" i="5"/>
  <c r="I124" i="5"/>
  <c r="H101" i="5"/>
  <c r="H105" i="5"/>
  <c r="H114" i="5"/>
  <c r="I122" i="5"/>
  <c r="I133" i="5"/>
  <c r="I131" i="5"/>
  <c r="I132" i="5"/>
  <c r="I88" i="5"/>
  <c r="I105" i="5"/>
  <c r="I116" i="5"/>
  <c r="I119" i="5"/>
  <c r="I127" i="5"/>
  <c r="H100" i="5"/>
  <c r="H120" i="5"/>
  <c r="J120" i="5" s="1"/>
  <c r="I101" i="5"/>
  <c r="H106" i="5"/>
  <c r="H109" i="5"/>
  <c r="H112" i="5"/>
  <c r="I114" i="5"/>
  <c r="H117" i="5"/>
  <c r="I121" i="5"/>
  <c r="I126" i="5"/>
  <c r="H91" i="5"/>
  <c r="I94" i="5"/>
  <c r="H104" i="5"/>
  <c r="I115" i="5"/>
  <c r="H122" i="5"/>
  <c r="H102" i="5"/>
  <c r="I118" i="5"/>
  <c r="H90" i="5"/>
  <c r="H96" i="5"/>
  <c r="H99" i="5"/>
  <c r="I117" i="5"/>
  <c r="I123" i="5"/>
  <c r="H110" i="5"/>
  <c r="H113" i="5"/>
  <c r="H92" i="5"/>
  <c r="I95" i="5"/>
  <c r="H108" i="5"/>
  <c r="I111" i="5"/>
  <c r="I113" i="5"/>
  <c r="H88" i="5"/>
  <c r="I93" i="5"/>
  <c r="H94" i="5"/>
  <c r="I99" i="5"/>
  <c r="I108" i="5"/>
  <c r="I109" i="5"/>
  <c r="I92" i="5"/>
  <c r="I97" i="5"/>
  <c r="J97" i="5" s="1"/>
  <c r="I98" i="5"/>
  <c r="I107" i="5"/>
  <c r="I112" i="5"/>
  <c r="I87" i="5"/>
  <c r="I91" i="5"/>
  <c r="I96" i="5"/>
  <c r="H103" i="5"/>
  <c r="I106" i="5"/>
  <c r="H111" i="5"/>
  <c r="I64" i="5"/>
  <c r="H67" i="5"/>
  <c r="H73" i="5"/>
  <c r="H76" i="5"/>
  <c r="I110" i="5"/>
  <c r="I89" i="5"/>
  <c r="H89" i="5"/>
  <c r="H87" i="5"/>
  <c r="I69" i="5"/>
  <c r="I80" i="5"/>
  <c r="I81" i="5"/>
  <c r="I78" i="5"/>
  <c r="I76" i="5"/>
  <c r="H78" i="5"/>
  <c r="H82" i="5"/>
  <c r="H77" i="5"/>
  <c r="H79" i="5"/>
  <c r="H86" i="5"/>
  <c r="I60" i="5"/>
  <c r="I63" i="5"/>
  <c r="H66" i="5"/>
  <c r="H69" i="5"/>
  <c r="H85" i="5"/>
  <c r="H83" i="5"/>
  <c r="I79" i="5"/>
  <c r="I77" i="5"/>
  <c r="I84" i="5"/>
  <c r="I86" i="5"/>
  <c r="H65" i="5"/>
  <c r="H68" i="5"/>
  <c r="I82" i="5"/>
  <c r="H84" i="5"/>
  <c r="I85" i="5"/>
  <c r="I83" i="5"/>
  <c r="H43" i="5"/>
  <c r="H61" i="5"/>
  <c r="H71" i="5"/>
  <c r="H80" i="5"/>
  <c r="I68" i="5"/>
  <c r="H60" i="5"/>
  <c r="H63" i="5"/>
  <c r="H70" i="5"/>
  <c r="I73" i="5"/>
  <c r="H75" i="5"/>
  <c r="H74" i="5"/>
  <c r="H59" i="5"/>
  <c r="H64" i="5"/>
  <c r="H72" i="5"/>
  <c r="I74" i="5"/>
  <c r="H48" i="5"/>
  <c r="H54" i="5"/>
  <c r="H62" i="5"/>
  <c r="I67" i="5"/>
  <c r="I72" i="5"/>
  <c r="I61" i="5"/>
  <c r="I65" i="5"/>
  <c r="I66" i="5"/>
  <c r="I71" i="5"/>
  <c r="H46" i="5"/>
  <c r="I49" i="5"/>
  <c r="H52" i="5"/>
  <c r="H58" i="5"/>
  <c r="I70" i="5"/>
  <c r="I75" i="5"/>
  <c r="I62" i="5"/>
  <c r="H53" i="5"/>
  <c r="I59" i="5"/>
  <c r="I58" i="5"/>
  <c r="I52" i="5"/>
  <c r="H57" i="5"/>
  <c r="I55" i="5"/>
  <c r="I53" i="5"/>
  <c r="I56" i="5"/>
  <c r="I54" i="5"/>
  <c r="H56" i="5"/>
  <c r="H26" i="5"/>
  <c r="H29" i="5"/>
  <c r="I32" i="5"/>
  <c r="H35" i="5"/>
  <c r="I38" i="5"/>
  <c r="I41" i="5"/>
  <c r="I47" i="5"/>
  <c r="H55" i="5"/>
  <c r="I57" i="5"/>
  <c r="I48" i="5"/>
  <c r="H50" i="5"/>
  <c r="I51" i="5"/>
  <c r="H51" i="5"/>
  <c r="I44" i="5"/>
  <c r="H47" i="5"/>
  <c r="H44" i="5"/>
  <c r="I46" i="5"/>
  <c r="H21" i="5"/>
  <c r="H24" i="5"/>
  <c r="I33" i="5"/>
  <c r="I36" i="5"/>
  <c r="I39" i="5"/>
  <c r="I45" i="5"/>
  <c r="I50" i="5"/>
  <c r="H41" i="5"/>
  <c r="H42" i="5"/>
  <c r="H45" i="5"/>
  <c r="I25" i="5"/>
  <c r="H28" i="5"/>
  <c r="I40" i="5"/>
  <c r="H49" i="5"/>
  <c r="I43" i="5"/>
  <c r="J43" i="5" s="1"/>
  <c r="I42" i="5"/>
  <c r="H40" i="5"/>
  <c r="H33" i="5"/>
  <c r="I28" i="5"/>
  <c r="I37" i="5"/>
  <c r="H16" i="5"/>
  <c r="H19" i="5"/>
  <c r="H30" i="5"/>
  <c r="H34" i="5"/>
  <c r="H36" i="5"/>
  <c r="H39" i="5"/>
  <c r="H37" i="5"/>
  <c r="H17" i="5"/>
  <c r="H20" i="5"/>
  <c r="H31" i="5"/>
  <c r="H38" i="5"/>
  <c r="I31" i="5"/>
  <c r="H32" i="5"/>
  <c r="I35" i="5"/>
  <c r="I21" i="5"/>
  <c r="H7" i="5"/>
  <c r="H8" i="5"/>
  <c r="I26" i="5"/>
  <c r="J26" i="5" s="1"/>
  <c r="I29" i="5"/>
  <c r="I30" i="5"/>
  <c r="H27" i="5"/>
  <c r="H6" i="5"/>
  <c r="H22" i="5"/>
  <c r="H25" i="5"/>
  <c r="I34" i="5"/>
  <c r="I27" i="5"/>
  <c r="H3" i="5"/>
  <c r="I12" i="5"/>
  <c r="H15" i="5"/>
  <c r="H10" i="5"/>
  <c r="I13" i="5"/>
  <c r="H23" i="5"/>
  <c r="I7" i="5"/>
  <c r="I15" i="5"/>
  <c r="I20" i="5"/>
  <c r="I19" i="5"/>
  <c r="I24" i="5"/>
  <c r="I5" i="5"/>
  <c r="I10" i="5"/>
  <c r="H13" i="5"/>
  <c r="H18" i="5"/>
  <c r="I23" i="5"/>
  <c r="I9" i="5"/>
  <c r="H14" i="5"/>
  <c r="I16" i="5"/>
  <c r="I22" i="5"/>
  <c r="H5" i="5"/>
  <c r="I6" i="5"/>
  <c r="I11" i="5"/>
  <c r="H2" i="5"/>
  <c r="H12" i="5"/>
  <c r="I14" i="5"/>
  <c r="I18" i="5"/>
  <c r="H11" i="5"/>
  <c r="I17" i="5"/>
  <c r="I3" i="5"/>
  <c r="I8" i="5"/>
  <c r="H9" i="5"/>
  <c r="I2" i="5"/>
  <c r="I4" i="5"/>
  <c r="H4" i="5"/>
  <c r="I179" i="1"/>
  <c r="J156" i="1"/>
  <c r="I155" i="1"/>
  <c r="I157" i="1"/>
  <c r="G162" i="1"/>
  <c r="R175" i="1"/>
  <c r="B179" i="1"/>
  <c r="I163" i="1"/>
  <c r="J134" i="1"/>
  <c r="I156" i="1"/>
  <c r="H155" i="1"/>
  <c r="F153" i="1"/>
  <c r="C159" i="1"/>
  <c r="B161" i="1"/>
  <c r="S163" i="1"/>
  <c r="R171" i="1"/>
  <c r="Q175" i="1"/>
  <c r="S178" i="1"/>
  <c r="M178" i="1"/>
  <c r="G178" i="1"/>
  <c r="S179" i="1"/>
  <c r="M179" i="1"/>
  <c r="G179" i="1"/>
  <c r="B178" i="1"/>
  <c r="H178" i="1"/>
  <c r="O163" i="1"/>
  <c r="C163" i="1"/>
  <c r="N169" i="1"/>
  <c r="H169" i="1"/>
  <c r="J122" i="1"/>
  <c r="D134" i="1"/>
  <c r="D156" i="1"/>
  <c r="C155" i="1"/>
  <c r="S153" i="1"/>
  <c r="C157" i="1"/>
  <c r="S160" i="1"/>
  <c r="B162" i="1"/>
  <c r="S162" i="1"/>
  <c r="N163" i="1"/>
  <c r="Q171" i="1"/>
  <c r="L175" i="1"/>
  <c r="R178" i="1"/>
  <c r="L178" i="1"/>
  <c r="F178" i="1"/>
  <c r="R179" i="1"/>
  <c r="L179" i="1"/>
  <c r="F179" i="1"/>
  <c r="R153" i="1"/>
  <c r="O159" i="1"/>
  <c r="M163" i="1"/>
  <c r="L171" i="1"/>
  <c r="F175" i="1"/>
  <c r="Q178" i="1"/>
  <c r="K178" i="1"/>
  <c r="E178" i="1"/>
  <c r="Q179" i="1"/>
  <c r="K179" i="1"/>
  <c r="E179" i="1"/>
  <c r="I178" i="1"/>
  <c r="E134" i="1"/>
  <c r="L152" i="1"/>
  <c r="R145" i="1"/>
  <c r="L145" i="1"/>
  <c r="F145" i="1"/>
  <c r="P156" i="1"/>
  <c r="O155" i="1"/>
  <c r="N154" i="1"/>
  <c r="M153" i="1"/>
  <c r="F152" i="1"/>
  <c r="O138" i="1"/>
  <c r="O157" i="1"/>
  <c r="N159" i="1"/>
  <c r="M160" i="1"/>
  <c r="N161" i="1"/>
  <c r="M162" i="1"/>
  <c r="H163" i="1"/>
  <c r="R169" i="1"/>
  <c r="K171" i="1"/>
  <c r="K174" i="1"/>
  <c r="E175" i="1"/>
  <c r="P178" i="1"/>
  <c r="J178" i="1"/>
  <c r="D178" i="1"/>
  <c r="P179" i="1"/>
  <c r="J179" i="1"/>
  <c r="D179" i="1"/>
  <c r="C179" i="1"/>
  <c r="H179" i="1"/>
  <c r="B144" i="1"/>
  <c r="Q145" i="1"/>
  <c r="J144" i="1"/>
  <c r="D138" i="1"/>
  <c r="J158" i="1"/>
  <c r="R174" i="1"/>
  <c r="J145" i="1"/>
  <c r="I144" i="1"/>
  <c r="B158" i="1"/>
  <c r="Q169" i="1"/>
  <c r="E174" i="1"/>
  <c r="K175" i="1"/>
  <c r="B134" i="1"/>
  <c r="N134" i="1"/>
  <c r="H134" i="1"/>
  <c r="N156" i="1"/>
  <c r="H156" i="1"/>
  <c r="S155" i="1"/>
  <c r="M155" i="1"/>
  <c r="G155" i="1"/>
  <c r="R154" i="1"/>
  <c r="L154" i="1"/>
  <c r="F154" i="1"/>
  <c r="Q153" i="1"/>
  <c r="K153" i="1"/>
  <c r="E153" i="1"/>
  <c r="P152" i="1"/>
  <c r="J152" i="1"/>
  <c r="D152" i="1"/>
  <c r="O145" i="1"/>
  <c r="I145" i="1"/>
  <c r="C145" i="1"/>
  <c r="N144" i="1"/>
  <c r="H144" i="1"/>
  <c r="N138" i="1"/>
  <c r="H138" i="1"/>
  <c r="S157" i="1"/>
  <c r="M157" i="1"/>
  <c r="G157" i="1"/>
  <c r="B160" i="1"/>
  <c r="N158" i="1"/>
  <c r="H158" i="1"/>
  <c r="S159" i="1"/>
  <c r="M159" i="1"/>
  <c r="G159" i="1"/>
  <c r="R160" i="1"/>
  <c r="L160" i="1"/>
  <c r="F160" i="1"/>
  <c r="S161" i="1"/>
  <c r="M161" i="1"/>
  <c r="G161" i="1"/>
  <c r="R162" i="1"/>
  <c r="L162" i="1"/>
  <c r="F162" i="1"/>
  <c r="R163" i="1"/>
  <c r="L163" i="1"/>
  <c r="F163" i="1"/>
  <c r="P169" i="1"/>
  <c r="J169" i="1"/>
  <c r="D169" i="1"/>
  <c r="P171" i="1"/>
  <c r="J171" i="1"/>
  <c r="D171" i="1"/>
  <c r="P174" i="1"/>
  <c r="D174" i="1"/>
  <c r="P175" i="1"/>
  <c r="J175" i="1"/>
  <c r="D175" i="1"/>
  <c r="B153" i="1"/>
  <c r="E145" i="1"/>
  <c r="D144" i="1"/>
  <c r="P158" i="1"/>
  <c r="D158" i="1"/>
  <c r="B163" i="1"/>
  <c r="B145" i="1"/>
  <c r="B154" i="1"/>
  <c r="I134" i="1"/>
  <c r="D145" i="1"/>
  <c r="S134" i="1"/>
  <c r="M134" i="1"/>
  <c r="G134" i="1"/>
  <c r="S156" i="1"/>
  <c r="M156" i="1"/>
  <c r="G156" i="1"/>
  <c r="R155" i="1"/>
  <c r="L155" i="1"/>
  <c r="F155" i="1"/>
  <c r="Q154" i="1"/>
  <c r="K154" i="1"/>
  <c r="E154" i="1"/>
  <c r="P153" i="1"/>
  <c r="J153" i="1"/>
  <c r="D153" i="1"/>
  <c r="O152" i="1"/>
  <c r="I152" i="1"/>
  <c r="C152" i="1"/>
  <c r="N145" i="1"/>
  <c r="H145" i="1"/>
  <c r="S144" i="1"/>
  <c r="M144" i="1"/>
  <c r="G144" i="1"/>
  <c r="S138" i="1"/>
  <c r="M138" i="1"/>
  <c r="G138" i="1"/>
  <c r="R157" i="1"/>
  <c r="L157" i="1"/>
  <c r="F157" i="1"/>
  <c r="S158" i="1"/>
  <c r="M158" i="1"/>
  <c r="G158" i="1"/>
  <c r="R159" i="1"/>
  <c r="L159" i="1"/>
  <c r="F159" i="1"/>
  <c r="Q160" i="1"/>
  <c r="K160" i="1"/>
  <c r="E160" i="1"/>
  <c r="R161" i="1"/>
  <c r="L161" i="1"/>
  <c r="F161" i="1"/>
  <c r="Q162" i="1"/>
  <c r="K162" i="1"/>
  <c r="E162" i="1"/>
  <c r="Q163" i="1"/>
  <c r="K163" i="1"/>
  <c r="E163" i="1"/>
  <c r="O169" i="1"/>
  <c r="I169" i="1"/>
  <c r="C169" i="1"/>
  <c r="O171" i="1"/>
  <c r="I171" i="1"/>
  <c r="C171" i="1"/>
  <c r="O174" i="1"/>
  <c r="I174" i="1"/>
  <c r="C174" i="1"/>
  <c r="O175" i="1"/>
  <c r="I175" i="1"/>
  <c r="C175" i="1"/>
  <c r="K145" i="1"/>
  <c r="P138" i="1"/>
  <c r="L174" i="1"/>
  <c r="O134" i="1"/>
  <c r="C134" i="1"/>
  <c r="K152" i="1"/>
  <c r="O144" i="1"/>
  <c r="B159" i="1"/>
  <c r="I158" i="1"/>
  <c r="E169" i="1"/>
  <c r="B138" i="1"/>
  <c r="R134" i="1"/>
  <c r="L134" i="1"/>
  <c r="F134" i="1"/>
  <c r="R156" i="1"/>
  <c r="L156" i="1"/>
  <c r="F156" i="1"/>
  <c r="Q155" i="1"/>
  <c r="K155" i="1"/>
  <c r="E155" i="1"/>
  <c r="P154" i="1"/>
  <c r="O153" i="1"/>
  <c r="I153" i="1"/>
  <c r="C153" i="1"/>
  <c r="N152" i="1"/>
  <c r="H152" i="1"/>
  <c r="S145" i="1"/>
  <c r="M145" i="1"/>
  <c r="G145" i="1"/>
  <c r="R144" i="1"/>
  <c r="L144" i="1"/>
  <c r="F144" i="1"/>
  <c r="Q157" i="1"/>
  <c r="K157" i="1"/>
  <c r="E157" i="1"/>
  <c r="R158" i="1"/>
  <c r="L158" i="1"/>
  <c r="F158" i="1"/>
  <c r="Q159" i="1"/>
  <c r="K159" i="1"/>
  <c r="E159" i="1"/>
  <c r="Q161" i="1"/>
  <c r="K161" i="1"/>
  <c r="E161" i="1"/>
  <c r="P162" i="1"/>
  <c r="J162" i="1"/>
  <c r="D162" i="1"/>
  <c r="P163" i="1"/>
  <c r="J163" i="1"/>
  <c r="D163" i="1"/>
  <c r="B169" i="1"/>
  <c r="B171" i="1"/>
  <c r="N171" i="1"/>
  <c r="H171" i="1"/>
  <c r="B174" i="1"/>
  <c r="N174" i="1"/>
  <c r="H174" i="1"/>
  <c r="Q152" i="1"/>
  <c r="E152" i="1"/>
  <c r="P145" i="1"/>
  <c r="C144" i="1"/>
  <c r="I138" i="1"/>
  <c r="O158" i="1"/>
  <c r="C158" i="1"/>
  <c r="K169" i="1"/>
  <c r="Q174" i="1"/>
  <c r="B152" i="1"/>
  <c r="Q156" i="1"/>
  <c r="K156" i="1"/>
  <c r="E156" i="1"/>
  <c r="P155" i="1"/>
  <c r="J155" i="1"/>
  <c r="D155" i="1"/>
  <c r="S152" i="1"/>
  <c r="M152" i="1"/>
  <c r="G152" i="1"/>
  <c r="B155" i="1"/>
  <c r="P157" i="1"/>
  <c r="J157" i="1"/>
  <c r="D157" i="1"/>
  <c r="P159" i="1"/>
  <c r="J159" i="1"/>
  <c r="D159" i="1"/>
  <c r="O162" i="1"/>
  <c r="I162" i="1"/>
  <c r="C162" i="1"/>
  <c r="S174" i="1"/>
  <c r="G174" i="1"/>
  <c r="C128" i="1"/>
  <c r="I128" i="1"/>
  <c r="M128" i="1"/>
  <c r="S127" i="1"/>
  <c r="B128" i="1"/>
  <c r="K127" i="1"/>
  <c r="I127" i="1"/>
  <c r="G128" i="1"/>
  <c r="R128" i="1"/>
  <c r="L128" i="1"/>
  <c r="N128" i="1"/>
  <c r="B127" i="1"/>
  <c r="F128" i="1"/>
  <c r="C127" i="1"/>
  <c r="H127" i="1"/>
  <c r="M127" i="1"/>
  <c r="Q128" i="1"/>
  <c r="E128" i="1"/>
  <c r="P128" i="1"/>
  <c r="J128" i="1"/>
  <c r="D128" i="1"/>
  <c r="O128" i="1"/>
  <c r="K200" i="5" l="1"/>
  <c r="J152" i="5"/>
  <c r="K221" i="5"/>
  <c r="K229" i="5"/>
  <c r="K225" i="5"/>
  <c r="K213" i="5"/>
  <c r="K194" i="5"/>
  <c r="J163" i="5"/>
  <c r="J123" i="5"/>
  <c r="J126" i="5"/>
  <c r="J185" i="5"/>
  <c r="J186" i="5"/>
  <c r="K219" i="5"/>
  <c r="J208" i="5"/>
  <c r="J121" i="5"/>
  <c r="J142" i="5"/>
  <c r="J155" i="5"/>
  <c r="J177" i="5"/>
  <c r="K171" i="5"/>
  <c r="J211" i="5"/>
  <c r="K205" i="5"/>
  <c r="J168" i="5"/>
  <c r="K155" i="5"/>
  <c r="J174" i="5"/>
  <c r="K174" i="5" s="1"/>
  <c r="K209" i="5"/>
  <c r="K203" i="5"/>
  <c r="J141" i="5"/>
  <c r="J182" i="5"/>
  <c r="K182" i="5" s="1"/>
  <c r="J134" i="5"/>
  <c r="J151" i="5"/>
  <c r="J180" i="5"/>
  <c r="J197" i="5"/>
  <c r="K197" i="5" s="1"/>
  <c r="J136" i="5"/>
  <c r="J90" i="5"/>
  <c r="J124" i="5"/>
  <c r="J125" i="5"/>
  <c r="K178" i="5"/>
  <c r="J146" i="5"/>
  <c r="K190" i="5"/>
  <c r="K167" i="5"/>
  <c r="J107" i="5"/>
  <c r="J103" i="5"/>
  <c r="J115" i="5"/>
  <c r="J147" i="5"/>
  <c r="K146" i="5" s="1"/>
  <c r="K163" i="5"/>
  <c r="K152" i="5"/>
  <c r="J130" i="5"/>
  <c r="J93" i="5"/>
  <c r="J104" i="5"/>
  <c r="J100" i="5"/>
  <c r="J132" i="5"/>
  <c r="J159" i="5"/>
  <c r="K159" i="5" s="1"/>
  <c r="J53" i="5"/>
  <c r="J114" i="5"/>
  <c r="J101" i="5"/>
  <c r="J137" i="5"/>
  <c r="J138" i="5"/>
  <c r="J149" i="5"/>
  <c r="J133" i="5"/>
  <c r="J128" i="5"/>
  <c r="J150" i="5"/>
  <c r="J116" i="5"/>
  <c r="J135" i="5"/>
  <c r="J143" i="5"/>
  <c r="K143" i="5" s="1"/>
  <c r="J98" i="5"/>
  <c r="J95" i="5"/>
  <c r="J81" i="5"/>
  <c r="J122" i="5"/>
  <c r="J105" i="5"/>
  <c r="J140" i="5"/>
  <c r="K139" i="5" s="1"/>
  <c r="J127" i="5"/>
  <c r="J118" i="5"/>
  <c r="J131" i="5"/>
  <c r="J119" i="5"/>
  <c r="J99" i="5"/>
  <c r="J102" i="5"/>
  <c r="J106" i="5"/>
  <c r="J117" i="5"/>
  <c r="J55" i="5"/>
  <c r="J94" i="5"/>
  <c r="J88" i="5"/>
  <c r="J96" i="5"/>
  <c r="J91" i="5"/>
  <c r="J109" i="5"/>
  <c r="J111" i="5"/>
  <c r="J112" i="5"/>
  <c r="J108" i="5"/>
  <c r="J64" i="5"/>
  <c r="J110" i="5"/>
  <c r="J113" i="5"/>
  <c r="J73" i="5"/>
  <c r="J92" i="5"/>
  <c r="J47" i="5"/>
  <c r="J57" i="5"/>
  <c r="J89" i="5"/>
  <c r="J78" i="5"/>
  <c r="J67" i="5"/>
  <c r="J76" i="5"/>
  <c r="J87" i="5"/>
  <c r="J60" i="5"/>
  <c r="J68" i="5"/>
  <c r="J86" i="5"/>
  <c r="J69" i="5"/>
  <c r="J77" i="5"/>
  <c r="J80" i="5"/>
  <c r="J85" i="5"/>
  <c r="J59" i="5"/>
  <c r="J82" i="5"/>
  <c r="J84" i="5"/>
  <c r="J79" i="5"/>
  <c r="J66" i="5"/>
  <c r="J63" i="5"/>
  <c r="J83" i="5"/>
  <c r="J29" i="5"/>
  <c r="J46" i="5"/>
  <c r="J54" i="5"/>
  <c r="J65" i="5"/>
  <c r="J61" i="5"/>
  <c r="J48" i="5"/>
  <c r="J72" i="5"/>
  <c r="J75" i="5"/>
  <c r="J71" i="5"/>
  <c r="J74" i="5"/>
  <c r="J52" i="5"/>
  <c r="J70" i="5"/>
  <c r="J35" i="5"/>
  <c r="J50" i="5"/>
  <c r="J58" i="5"/>
  <c r="J62" i="5"/>
  <c r="J49" i="5"/>
  <c r="J51" i="5"/>
  <c r="J25" i="5"/>
  <c r="J41" i="5"/>
  <c r="J22" i="5"/>
  <c r="J38" i="5"/>
  <c r="J21" i="5"/>
  <c r="J56" i="5"/>
  <c r="J32" i="5"/>
  <c r="J36" i="5"/>
  <c r="J40" i="5"/>
  <c r="J33" i="5"/>
  <c r="J24" i="5"/>
  <c r="J44" i="5"/>
  <c r="J45" i="5"/>
  <c r="J42" i="5"/>
  <c r="J28" i="5"/>
  <c r="J39" i="5"/>
  <c r="J16" i="5"/>
  <c r="J31" i="5"/>
  <c r="J15" i="5"/>
  <c r="J8" i="5"/>
  <c r="J7" i="5"/>
  <c r="J3" i="5"/>
  <c r="J20" i="5"/>
  <c r="J13" i="5"/>
  <c r="J34" i="5"/>
  <c r="J19" i="5"/>
  <c r="J37" i="5"/>
  <c r="J18" i="5"/>
  <c r="J10" i="5"/>
  <c r="J17" i="5"/>
  <c r="J30" i="5"/>
  <c r="J6" i="5"/>
  <c r="J11" i="5"/>
  <c r="J27" i="5"/>
  <c r="J23" i="5"/>
  <c r="J12" i="5"/>
  <c r="J14" i="5"/>
  <c r="J5" i="5"/>
  <c r="J2" i="5"/>
  <c r="J9" i="5"/>
  <c r="J4" i="5"/>
  <c r="K119" i="5" l="1"/>
  <c r="K122" i="5"/>
  <c r="K128" i="5"/>
  <c r="K125" i="5"/>
  <c r="K135" i="5"/>
  <c r="K115" i="5"/>
  <c r="K132" i="5"/>
  <c r="K101" i="5"/>
  <c r="K98" i="5"/>
  <c r="K149" i="5"/>
  <c r="K94" i="5"/>
  <c r="K90" i="5"/>
  <c r="K105" i="5"/>
  <c r="K112" i="5"/>
  <c r="K87" i="5"/>
  <c r="K57" i="5"/>
  <c r="K109" i="5"/>
  <c r="K59" i="5"/>
  <c r="K66" i="5"/>
  <c r="K77" i="5"/>
  <c r="K48" i="5"/>
  <c r="K84" i="5"/>
  <c r="K51" i="5"/>
  <c r="K81" i="5"/>
  <c r="K74" i="5"/>
  <c r="K54" i="5"/>
  <c r="K62" i="5"/>
  <c r="K70" i="5"/>
  <c r="K26" i="5"/>
  <c r="K41" i="5"/>
  <c r="K34" i="5"/>
  <c r="K37" i="5"/>
  <c r="K30" i="5"/>
  <c r="K23" i="5"/>
  <c r="K44" i="5"/>
  <c r="K19" i="5"/>
  <c r="K15" i="5"/>
  <c r="K2" i="5"/>
  <c r="K8" i="5"/>
  <c r="K5" i="5"/>
  <c r="K12" i="5"/>
</calcChain>
</file>

<file path=xl/sharedStrings.xml><?xml version="1.0" encoding="utf-8"?>
<sst xmlns="http://schemas.openxmlformats.org/spreadsheetml/2006/main" count="1628" uniqueCount="502">
  <si>
    <t>Gross written premiums</t>
  </si>
  <si>
    <t>Premiums ceded to reinsurers</t>
  </si>
  <si>
    <t>Net written premiums</t>
  </si>
  <si>
    <t>Other revenue</t>
  </si>
  <si>
    <t>Net finance income</t>
  </si>
  <si>
    <t>Net realised gains</t>
  </si>
  <si>
    <t>Net fair value gains / (losses)</t>
  </si>
  <si>
    <t>Other operating income</t>
  </si>
  <si>
    <t>Total other revenue</t>
  </si>
  <si>
    <t>Total net revenue</t>
  </si>
  <si>
    <t>INCOME STATEMENT</t>
  </si>
  <si>
    <t>Net benefits, claims and expenses</t>
  </si>
  <si>
    <t>Net insurance benefits and claims paid</t>
  </si>
  <si>
    <t>Net change in insurance claims outstanding</t>
  </si>
  <si>
    <t>Change in insurance contracts liabilities</t>
  </si>
  <si>
    <t>Underwriting and net acquisition cost (Net of reinsurance)</t>
  </si>
  <si>
    <t>Other operating and administration expenses</t>
  </si>
  <si>
    <t>Impairment reversal / (provision) on financial investments</t>
  </si>
  <si>
    <t>Finance cost</t>
  </si>
  <si>
    <t>Total benefits, claims and expenses</t>
  </si>
  <si>
    <t>Profit before tax</t>
  </si>
  <si>
    <t>Income tax expenses</t>
  </si>
  <si>
    <t>Profit for the period</t>
  </si>
  <si>
    <t>Profit attributable to;</t>
  </si>
  <si>
    <t>Owners of the Company</t>
  </si>
  <si>
    <t>Non controlling interest</t>
  </si>
  <si>
    <t>Earnings per share</t>
  </si>
  <si>
    <t>Basic earnings per share (Rs.)</t>
  </si>
  <si>
    <t>Diluted earnings per share (Rs.)</t>
  </si>
  <si>
    <t>Assets</t>
  </si>
  <si>
    <t>Intangible assets</t>
  </si>
  <si>
    <t>Property, plant and equipment</t>
  </si>
  <si>
    <t>Right of use assets</t>
  </si>
  <si>
    <t>Deferred Tax Assets</t>
  </si>
  <si>
    <t>Financial investments</t>
  </si>
  <si>
    <t>Loans to life policyholders</t>
  </si>
  <si>
    <t>Reinsurance receivables</t>
  </si>
  <si>
    <t>Premium receivables</t>
  </si>
  <si>
    <t>Receivables and other assets</t>
  </si>
  <si>
    <t>Cash and cash equivalents</t>
  </si>
  <si>
    <t>Total assets</t>
  </si>
  <si>
    <t>Equity and liabilities</t>
  </si>
  <si>
    <t>Equity</t>
  </si>
  <si>
    <t>Stated capital</t>
  </si>
  <si>
    <t>Restricted regulatory reserve</t>
  </si>
  <si>
    <t>Other reserves</t>
  </si>
  <si>
    <t>Retained earnings</t>
  </si>
  <si>
    <t>Total equity</t>
  </si>
  <si>
    <t>Liabilities</t>
  </si>
  <si>
    <t>Insurance contract liabilities</t>
  </si>
  <si>
    <t>Employee benefit liabilities</t>
  </si>
  <si>
    <t>Loans and borrowings</t>
  </si>
  <si>
    <t>Reinsurance payables</t>
  </si>
  <si>
    <t>Other liabilities</t>
  </si>
  <si>
    <t>Bank overdraft</t>
  </si>
  <si>
    <t>Total liabilities</t>
  </si>
  <si>
    <t>Total equity and liabilities</t>
  </si>
  <si>
    <t>Net asset per share (Rs.)</t>
  </si>
  <si>
    <t>STATEMENT OF CASH FLOWS</t>
  </si>
  <si>
    <t>Cash flows from operating activities</t>
  </si>
  <si>
    <t>Profit before taxation</t>
  </si>
  <si>
    <t>Adjustments for :</t>
  </si>
  <si>
    <t>Depreciation of property, plant and equipment</t>
  </si>
  <si>
    <t>Amortisation of intangible assets</t>
  </si>
  <si>
    <t>Depreciation of right of use asset</t>
  </si>
  <si>
    <t>Interest expenses on lease liabilities and loans and borrowings</t>
  </si>
  <si>
    <t>Provision for employee benefit liabilities</t>
  </si>
  <si>
    <t>Net realised Gains</t>
  </si>
  <si>
    <t>Net fair value (Gains)/ losses</t>
  </si>
  <si>
    <t>Net unrealised losses on foreign currency transactions</t>
  </si>
  <si>
    <t>Net amortisation of financial investments</t>
  </si>
  <si>
    <t>Provision for impairment (Reversal) /losses on financial investments</t>
  </si>
  <si>
    <t>Change in operating assets</t>
  </si>
  <si>
    <t>Decrease / (Increase)  in loans to life policyholders</t>
  </si>
  <si>
    <t>Increase in reinsurance receivables</t>
  </si>
  <si>
    <t>Decrease in premium receivables</t>
  </si>
  <si>
    <t>Increase in receivables and other assets</t>
  </si>
  <si>
    <t>Change in operating liabilities</t>
  </si>
  <si>
    <t>Increase / (Decrease) in insurance contract liabilities</t>
  </si>
  <si>
    <t>Increase in reinsurance payables</t>
  </si>
  <si>
    <t>Increase / (Decrease) in other liabilities</t>
  </si>
  <si>
    <t>Net cash generated from operations</t>
  </si>
  <si>
    <t>Tax Paid</t>
  </si>
  <si>
    <t>Interest Paid</t>
  </si>
  <si>
    <t>Gratuity paid</t>
  </si>
  <si>
    <t>Net cash generated from operating activities</t>
  </si>
  <si>
    <t>Cash flows from investing activities</t>
  </si>
  <si>
    <t>Acquisition of investment securities</t>
  </si>
  <si>
    <t>Proceeds from sale of investment securities</t>
  </si>
  <si>
    <t>Acquisition of property, plant and equipment</t>
  </si>
  <si>
    <t>Net Acquisition of ROU Asset</t>
  </si>
  <si>
    <t>Net cash flows used in investing activities</t>
  </si>
  <si>
    <t>Cash flows from financing activities</t>
  </si>
  <si>
    <t>Dividend paid to equity holders</t>
  </si>
  <si>
    <t>Payment of lease liabilities</t>
  </si>
  <si>
    <t>Net cash used in financing activities</t>
  </si>
  <si>
    <t>Net increase / (Decrease) in cash and cash equivalents</t>
  </si>
  <si>
    <t>Net cash and cash equivalents as at 1 January</t>
  </si>
  <si>
    <t>Analysis of cash and cash equivalents</t>
  </si>
  <si>
    <t>Cash in hand and at bank</t>
  </si>
  <si>
    <t>Bank overdrafts</t>
  </si>
  <si>
    <t>-</t>
  </si>
  <si>
    <t>Net cash and cash equivalents as at end of the period</t>
  </si>
  <si>
    <t>Gain on sale of property, plant and equipment</t>
  </si>
  <si>
    <t>Acquisition of intangible assets</t>
  </si>
  <si>
    <t>Proceeds from the sale of property, plant and equipment</t>
  </si>
  <si>
    <t>Consideration received from disposal of investments</t>
  </si>
  <si>
    <t>Consideration received from disposal of property, plant and equipment</t>
  </si>
  <si>
    <t>Stock Price</t>
  </si>
  <si>
    <t>Profit Before Working Capital Changes</t>
  </si>
  <si>
    <t>Peroceeds from Long Term Borrowings</t>
  </si>
  <si>
    <t>Total cash and cash equivalents as at End of period</t>
  </si>
  <si>
    <t>Ratios</t>
  </si>
  <si>
    <t>Asset Coverage Ratio</t>
  </si>
  <si>
    <t>Interest Coverage Ratio</t>
  </si>
  <si>
    <t>Debt to Capital Ratio</t>
  </si>
  <si>
    <t>Debt to Income Ratio</t>
  </si>
  <si>
    <t>Cash Flow to Debt ratio</t>
  </si>
  <si>
    <t>Asset turnover Ratio</t>
  </si>
  <si>
    <t>Sales to Administrative Expenses</t>
  </si>
  <si>
    <t>Return on Operating Assets</t>
  </si>
  <si>
    <t>Equity Multiplier</t>
  </si>
  <si>
    <t>Fixed Asset turnover ratio</t>
  </si>
  <si>
    <t>Days Working Capital</t>
  </si>
  <si>
    <t>Working capital turnover ratio</t>
  </si>
  <si>
    <t>Day Cash on hand</t>
  </si>
  <si>
    <t>Capital Intensity Ratio</t>
  </si>
  <si>
    <t>Sales to Equity Ratio</t>
  </si>
  <si>
    <t>Sales to asset ratio</t>
  </si>
  <si>
    <t>Investment turnover ratio</t>
  </si>
  <si>
    <t>Sales to operating income ratio</t>
  </si>
  <si>
    <t>Current Ratio</t>
  </si>
  <si>
    <t>Quick Ratio</t>
  </si>
  <si>
    <t>Cash Ratio</t>
  </si>
  <si>
    <t>Z Score</t>
  </si>
  <si>
    <t xml:space="preserve">Current Asset </t>
  </si>
  <si>
    <t>Current Liabilities</t>
  </si>
  <si>
    <t>Total Shares Outstanding</t>
  </si>
  <si>
    <t>Defensive Interval Ratio</t>
  </si>
  <si>
    <t>Sales to Working Capital Ratio</t>
  </si>
  <si>
    <t>Markateble Securities (Treasury Bills)</t>
  </si>
  <si>
    <t>Cash to current Liabilities</t>
  </si>
  <si>
    <t>Working capital to debt ratio</t>
  </si>
  <si>
    <t>Cash flow adequacy ratio</t>
  </si>
  <si>
    <t>Net sales to current assets ratio</t>
  </si>
  <si>
    <t>Cash to current assets ratio</t>
  </si>
  <si>
    <t>Cash to woorking capital</t>
  </si>
  <si>
    <t>Net Debt</t>
  </si>
  <si>
    <t>Repayable within one year (loan movement)</t>
  </si>
  <si>
    <t>Capital gain yield</t>
  </si>
  <si>
    <t>Gross profit margin</t>
  </si>
  <si>
    <t>Contribution Margin</t>
  </si>
  <si>
    <t>EBIT</t>
  </si>
  <si>
    <t>EBITA</t>
  </si>
  <si>
    <t>Profit margin</t>
  </si>
  <si>
    <t>EBITDA</t>
  </si>
  <si>
    <t>Return on Equity</t>
  </si>
  <si>
    <t>Return on Assets</t>
  </si>
  <si>
    <t>Return on net assets</t>
  </si>
  <si>
    <t>Operating Margin Ratio</t>
  </si>
  <si>
    <t>Return on Capital Employed</t>
  </si>
  <si>
    <t>Degree of operating leverages</t>
  </si>
  <si>
    <t>Gross Margin Ratio</t>
  </si>
  <si>
    <t>Retuen on debt Ratio</t>
  </si>
  <si>
    <t>Operating Cash flow Margin</t>
  </si>
  <si>
    <t>Return on Average Equity Ratio</t>
  </si>
  <si>
    <t>Return on revenue ratio</t>
  </si>
  <si>
    <t>Cash Return on Asset Ratio</t>
  </si>
  <si>
    <t>Cash EPS</t>
  </si>
  <si>
    <t>Cash Turnover ratio</t>
  </si>
  <si>
    <t>Debt to Equity Ratio</t>
  </si>
  <si>
    <t>Debt Ratio</t>
  </si>
  <si>
    <t>Equity Ratio</t>
  </si>
  <si>
    <t>Debt to asset ratio</t>
  </si>
  <si>
    <t>Long term debt to total asset</t>
  </si>
  <si>
    <t>Long term debt to capitalization ratio</t>
  </si>
  <si>
    <t>Long term debt to equity ratio</t>
  </si>
  <si>
    <t>Non current Asset to Networth</t>
  </si>
  <si>
    <t>Fixed Asset to Net worth</t>
  </si>
  <si>
    <t>Debt to EBITDA</t>
  </si>
  <si>
    <t>Net Debt to EBITDA</t>
  </si>
  <si>
    <t>Interest Expence to Debt Ratio</t>
  </si>
  <si>
    <t>Dividend Yield</t>
  </si>
  <si>
    <t>Price to Earning Ratio</t>
  </si>
  <si>
    <t>Price to Sales Ratio</t>
  </si>
  <si>
    <t>Free cash flow to equity</t>
  </si>
  <si>
    <t>Dividend per share</t>
  </si>
  <si>
    <t>Dividend payout ratio</t>
  </si>
  <si>
    <t>Dividend Paid</t>
  </si>
  <si>
    <t>Book value per share</t>
  </si>
  <si>
    <t>Price to Book Ratio</t>
  </si>
  <si>
    <t>Retention Ratio</t>
  </si>
  <si>
    <t>Price to cash flow ratio</t>
  </si>
  <si>
    <t>Accumulated depreciation to Fixed Asset</t>
  </si>
  <si>
    <t>Free cash flow to Sales Ratio</t>
  </si>
  <si>
    <t>Amortisation of intangible assets (for the period)</t>
  </si>
  <si>
    <t>Depreciation of right of use asset (For the period)</t>
  </si>
  <si>
    <t>Net cash generated from operating activities (for the period)</t>
  </si>
  <si>
    <t>Depreciation of property, plant and equipment (for the period)</t>
  </si>
  <si>
    <t>Purchase of property plant and equipment (for the period)</t>
  </si>
  <si>
    <t>AAIC00100</t>
  </si>
  <si>
    <t>AAIC00200</t>
  </si>
  <si>
    <t>AAIC00300</t>
  </si>
  <si>
    <t>AAIC00400</t>
  </si>
  <si>
    <t>AAIC00500</t>
  </si>
  <si>
    <t>AAIC00600</t>
  </si>
  <si>
    <t>AAIC00700</t>
  </si>
  <si>
    <t>AAIC00800</t>
  </si>
  <si>
    <t>AAIC00900</t>
  </si>
  <si>
    <t>AAIC01000</t>
  </si>
  <si>
    <t>AAIC01100</t>
  </si>
  <si>
    <t>AAIC01200</t>
  </si>
  <si>
    <t>AAIC01300</t>
  </si>
  <si>
    <t>AAIC01400</t>
  </si>
  <si>
    <t>AAIC01500</t>
  </si>
  <si>
    <t>AAIC01600</t>
  </si>
  <si>
    <t>AAIC01700</t>
  </si>
  <si>
    <t>AAIC01800</t>
  </si>
  <si>
    <t>AAIC01900</t>
  </si>
  <si>
    <t>AAIC02000</t>
  </si>
  <si>
    <t>AAIC02100</t>
  </si>
  <si>
    <t>AAIC02200</t>
  </si>
  <si>
    <t>AAIC02300</t>
  </si>
  <si>
    <t>AAIC02400</t>
  </si>
  <si>
    <t>AAIC02500</t>
  </si>
  <si>
    <t>AAIC02600</t>
  </si>
  <si>
    <t>AAIC02700</t>
  </si>
  <si>
    <t>AAIC02800</t>
  </si>
  <si>
    <t>AAIC02900</t>
  </si>
  <si>
    <t>AAIC03000</t>
  </si>
  <si>
    <t>AAIC03100</t>
  </si>
  <si>
    <t>AAIC03200</t>
  </si>
  <si>
    <t>AAIC03300</t>
  </si>
  <si>
    <t>AAIC03400</t>
  </si>
  <si>
    <t>AAIC03500</t>
  </si>
  <si>
    <t>AAIC03600</t>
  </si>
  <si>
    <t>AAIC03700</t>
  </si>
  <si>
    <t>AAIC03800</t>
  </si>
  <si>
    <t>AAIC03900</t>
  </si>
  <si>
    <t>AAIC04000</t>
  </si>
  <si>
    <t>AAIC04100</t>
  </si>
  <si>
    <t>AAIC04200</t>
  </si>
  <si>
    <t>AAIC04300</t>
  </si>
  <si>
    <t>AAIC04400</t>
  </si>
  <si>
    <t>AAIC04500</t>
  </si>
  <si>
    <t>AAIC04600</t>
  </si>
  <si>
    <t>AAIC04700</t>
  </si>
  <si>
    <t>AAIC04800</t>
  </si>
  <si>
    <t>AAIC04900</t>
  </si>
  <si>
    <t>AAIC05000</t>
  </si>
  <si>
    <t>AAIC05100</t>
  </si>
  <si>
    <t>AAIC05200</t>
  </si>
  <si>
    <t>AAIC05300</t>
  </si>
  <si>
    <t>AAIC05400</t>
  </si>
  <si>
    <t>AAIC05500</t>
  </si>
  <si>
    <t>AAIC05600</t>
  </si>
  <si>
    <t>AAIC05700</t>
  </si>
  <si>
    <t>AAIC05800</t>
  </si>
  <si>
    <t>AAIC05900</t>
  </si>
  <si>
    <t>AAIC06000</t>
  </si>
  <si>
    <t>AAIC06100</t>
  </si>
  <si>
    <t>AAIC06200</t>
  </si>
  <si>
    <t>AAIC06300</t>
  </si>
  <si>
    <t>AAIC06400</t>
  </si>
  <si>
    <t>AAIC06500</t>
  </si>
  <si>
    <t>AAIC06600</t>
  </si>
  <si>
    <t>AAIC06700</t>
  </si>
  <si>
    <t>AAIC06800</t>
  </si>
  <si>
    <t>AAIC06900</t>
  </si>
  <si>
    <t>AAIC07000</t>
  </si>
  <si>
    <t>Ratio_ID</t>
  </si>
  <si>
    <t>Minimum</t>
  </si>
  <si>
    <t>Maximum</t>
  </si>
  <si>
    <t>MEDIAN</t>
  </si>
  <si>
    <t>1st Quatile</t>
  </si>
  <si>
    <t>3rd Quartile</t>
  </si>
  <si>
    <t>OUTPUT</t>
  </si>
  <si>
    <t>AAIC00101</t>
  </si>
  <si>
    <t>AAIC00102</t>
  </si>
  <si>
    <t>AAIC00103</t>
  </si>
  <si>
    <t>AAIC00201</t>
  </si>
  <si>
    <t>AAIC00202</t>
  </si>
  <si>
    <t>AAIC00203</t>
  </si>
  <si>
    <t>AAIC00301</t>
  </si>
  <si>
    <t>AAIC00302</t>
  </si>
  <si>
    <t>AAIC00303</t>
  </si>
  <si>
    <t>AAIC00401</t>
  </si>
  <si>
    <t>AAIC00402</t>
  </si>
  <si>
    <t>AAIC00403</t>
  </si>
  <si>
    <t>AAIC00501</t>
  </si>
  <si>
    <t>AAIC00502</t>
  </si>
  <si>
    <t>AAIC00503</t>
  </si>
  <si>
    <t>AAIC00601</t>
  </si>
  <si>
    <t>AAIC00602</t>
  </si>
  <si>
    <t>AAIC00603</t>
  </si>
  <si>
    <t>AAIC00701</t>
  </si>
  <si>
    <t>AAIC00702</t>
  </si>
  <si>
    <t>AAIC00703</t>
  </si>
  <si>
    <t>AAIC00801</t>
  </si>
  <si>
    <t>AAIC00802</t>
  </si>
  <si>
    <t>AAIC00803</t>
  </si>
  <si>
    <t>AAIC00901</t>
  </si>
  <si>
    <t>AAIC00902</t>
  </si>
  <si>
    <t>AAIC00903</t>
  </si>
  <si>
    <t>AAIC01001</t>
  </si>
  <si>
    <t>AAIC01002</t>
  </si>
  <si>
    <t>AAIC01003</t>
  </si>
  <si>
    <t>AAIC01101</t>
  </si>
  <si>
    <t>AAIC01102</t>
  </si>
  <si>
    <t>AAIC01103</t>
  </si>
  <si>
    <t>AAIC01201</t>
  </si>
  <si>
    <t>AAIC01202</t>
  </si>
  <si>
    <t>AAIC01203</t>
  </si>
  <si>
    <t>AAIC01301</t>
  </si>
  <si>
    <t>AAIC01302</t>
  </si>
  <si>
    <t>AAIC01303</t>
  </si>
  <si>
    <t>AAIC01401</t>
  </si>
  <si>
    <t>AAIC01402</t>
  </si>
  <si>
    <t>AAIC01403</t>
  </si>
  <si>
    <t>AAIC01501</t>
  </si>
  <si>
    <t>AAIC01502</t>
  </si>
  <si>
    <t>AAIC01503</t>
  </si>
  <si>
    <t>AAIC01601</t>
  </si>
  <si>
    <t>AAIC01602</t>
  </si>
  <si>
    <t>AAIC01603</t>
  </si>
  <si>
    <t>AAIC01701</t>
  </si>
  <si>
    <t>AAIC01702</t>
  </si>
  <si>
    <t>AAIC01703</t>
  </si>
  <si>
    <t>AAIC01801</t>
  </si>
  <si>
    <t>AAIC01802</t>
  </si>
  <si>
    <t>AAIC01803</t>
  </si>
  <si>
    <t>AAIC01901</t>
  </si>
  <si>
    <t>AAIC01902</t>
  </si>
  <si>
    <t>AAIC01903</t>
  </si>
  <si>
    <t>AAIC02001</t>
  </si>
  <si>
    <t>AAIC02002</t>
  </si>
  <si>
    <t>AAIC02003</t>
  </si>
  <si>
    <t>AAIC02101</t>
  </si>
  <si>
    <t>AAIC02102</t>
  </si>
  <si>
    <t>AAIC02103</t>
  </si>
  <si>
    <t>AAIC02201</t>
  </si>
  <si>
    <t>AAIC02202</t>
  </si>
  <si>
    <t>AAIC02203</t>
  </si>
  <si>
    <t>AAIC02301</t>
  </si>
  <si>
    <t>AAIC02302</t>
  </si>
  <si>
    <t>AAIC02303</t>
  </si>
  <si>
    <t>AAIC02401</t>
  </si>
  <si>
    <t>AAIC02402</t>
  </si>
  <si>
    <t>AAIC02403</t>
  </si>
  <si>
    <t>AAIC02501</t>
  </si>
  <si>
    <t>AAIC02502</t>
  </si>
  <si>
    <t>AAIC02503</t>
  </si>
  <si>
    <t>AAIC02601</t>
  </si>
  <si>
    <t>AAIC02602</t>
  </si>
  <si>
    <t>AAIC02603</t>
  </si>
  <si>
    <t>AAIC02701</t>
  </si>
  <si>
    <t>AAIC02702</t>
  </si>
  <si>
    <t>AAIC02703</t>
  </si>
  <si>
    <t>AAIC02801</t>
  </si>
  <si>
    <t>AAIC02802</t>
  </si>
  <si>
    <t>AAIC02803</t>
  </si>
  <si>
    <t>AAIC02901</t>
  </si>
  <si>
    <t>AAIC02902</t>
  </si>
  <si>
    <t>AAIC02903</t>
  </si>
  <si>
    <t>AAIC03001</t>
  </si>
  <si>
    <t>AAIC03002</t>
  </si>
  <si>
    <t>AAIC03003</t>
  </si>
  <si>
    <t>AAIC04001</t>
  </si>
  <si>
    <t>AAIC04002</t>
  </si>
  <si>
    <t>AAIC04003</t>
  </si>
  <si>
    <t>AAIC03901</t>
  </si>
  <si>
    <t>AAIC03902</t>
  </si>
  <si>
    <t>AAIC03903</t>
  </si>
  <si>
    <t>AAIC03801</t>
  </si>
  <si>
    <t>AAIC03802</t>
  </si>
  <si>
    <t>AAIC03803</t>
  </si>
  <si>
    <t>AAIC03701</t>
  </si>
  <si>
    <t>AAIC03702</t>
  </si>
  <si>
    <t>AAIC03703</t>
  </si>
  <si>
    <t>AAIC03601</t>
  </si>
  <si>
    <t>AAIC03602</t>
  </si>
  <si>
    <t>AAIC03603</t>
  </si>
  <si>
    <t>AAIC03501</t>
  </si>
  <si>
    <t>AAIC03502</t>
  </si>
  <si>
    <t>AAIC03503</t>
  </si>
  <si>
    <t>AAIC03401</t>
  </si>
  <si>
    <t>AAIC03402</t>
  </si>
  <si>
    <t>AAIC03403</t>
  </si>
  <si>
    <t>AAIC03301</t>
  </si>
  <si>
    <t>AAIC03302</t>
  </si>
  <si>
    <t>AAIC03303</t>
  </si>
  <si>
    <t>AAIC03201</t>
  </si>
  <si>
    <t>AAIC03202</t>
  </si>
  <si>
    <t>AAIC03203</t>
  </si>
  <si>
    <t>AAIC03101</t>
  </si>
  <si>
    <t>AAIC03102</t>
  </si>
  <si>
    <t>AAIC03103</t>
  </si>
  <si>
    <t>AAIC04101</t>
  </si>
  <si>
    <t>AAIC04102</t>
  </si>
  <si>
    <t>AAIC04103</t>
  </si>
  <si>
    <t>AAIC05001</t>
  </si>
  <si>
    <t>AAIC05002</t>
  </si>
  <si>
    <t>AAIC05003</t>
  </si>
  <si>
    <t>AAIC04901</t>
  </si>
  <si>
    <t>AAIC04902</t>
  </si>
  <si>
    <t>AAIC04903</t>
  </si>
  <si>
    <t>AAIC04801</t>
  </si>
  <si>
    <t>AAIC04802</t>
  </si>
  <si>
    <t>AAIC04803</t>
  </si>
  <si>
    <t>AAIC04701</t>
  </si>
  <si>
    <t>AAIC04702</t>
  </si>
  <si>
    <t>AAIC04703</t>
  </si>
  <si>
    <t>AAIC04601</t>
  </si>
  <si>
    <t>AAIC04602</t>
  </si>
  <si>
    <t>AAIC04603</t>
  </si>
  <si>
    <t>AAIC04501</t>
  </si>
  <si>
    <t>AAIC04502</t>
  </si>
  <si>
    <t>AAIC04503</t>
  </si>
  <si>
    <t>AAIC04401</t>
  </si>
  <si>
    <t>AAIC04402</t>
  </si>
  <si>
    <t>AAIC04403</t>
  </si>
  <si>
    <t>AAIC04301</t>
  </si>
  <si>
    <t>AAIC04302</t>
  </si>
  <si>
    <t>AAIC04303</t>
  </si>
  <si>
    <t>AAIC04201</t>
  </si>
  <si>
    <t>AAIC04202</t>
  </si>
  <si>
    <t>AAIC04203</t>
  </si>
  <si>
    <t>AAIC06001</t>
  </si>
  <si>
    <t>AAIC06002</t>
  </si>
  <si>
    <t>AAIC06003</t>
  </si>
  <si>
    <t>AAIC05901</t>
  </si>
  <si>
    <t>AAIC05801</t>
  </si>
  <si>
    <t>AAIC05802</t>
  </si>
  <si>
    <t>AAIC05803</t>
  </si>
  <si>
    <t>AAIC05701</t>
  </si>
  <si>
    <t>AAIC05702</t>
  </si>
  <si>
    <t>AAIC05703</t>
  </si>
  <si>
    <t>AAIC05601</t>
  </si>
  <si>
    <t>AAIC05602</t>
  </si>
  <si>
    <t>AAIC05603</t>
  </si>
  <si>
    <t>AAIC05501</t>
  </si>
  <si>
    <t>AAIC05502</t>
  </si>
  <si>
    <t>AAIC05503</t>
  </si>
  <si>
    <t>AAIC05401</t>
  </si>
  <si>
    <t>AAIC05402</t>
  </si>
  <si>
    <t>AAIC05403</t>
  </si>
  <si>
    <t>AAIC05301</t>
  </si>
  <si>
    <t>AAIC05302</t>
  </si>
  <si>
    <t>AAIC05303</t>
  </si>
  <si>
    <t>AAIC05201</t>
  </si>
  <si>
    <t>AAIC05202</t>
  </si>
  <si>
    <t>AAIC05203</t>
  </si>
  <si>
    <t>AAIC05101</t>
  </si>
  <si>
    <t>AAIC05102</t>
  </si>
  <si>
    <t>AAIC05103</t>
  </si>
  <si>
    <t>AAIC06401</t>
  </si>
  <si>
    <t>AAIC06301</t>
  </si>
  <si>
    <t>AAIC06201</t>
  </si>
  <si>
    <t>AAIC06202</t>
  </si>
  <si>
    <t>AAIC06203</t>
  </si>
  <si>
    <t>AAIC06101</t>
  </si>
  <si>
    <t>AAIC06102</t>
  </si>
  <si>
    <t>AAIC06103</t>
  </si>
  <si>
    <t>AAIC07001</t>
  </si>
  <si>
    <t>AAIC07002</t>
  </si>
  <si>
    <t>AAIC07003</t>
  </si>
  <si>
    <t>AAIC06901</t>
  </si>
  <si>
    <t>AAIC06902</t>
  </si>
  <si>
    <t>AAIC06903</t>
  </si>
  <si>
    <t>AAIC06801</t>
  </si>
  <si>
    <t>AAIC06802</t>
  </si>
  <si>
    <t>AAIC06803</t>
  </si>
  <si>
    <t>AAIC06701</t>
  </si>
  <si>
    <t>AAIC06601</t>
  </si>
  <si>
    <t>AAIC06602</t>
  </si>
  <si>
    <t>AAIC06603</t>
  </si>
  <si>
    <t>AAIC06501</t>
  </si>
  <si>
    <t>AAIC06502</t>
  </si>
  <si>
    <t>AAIC06503</t>
  </si>
  <si>
    <t>Variable</t>
  </si>
  <si>
    <t>Q1 - Q2</t>
  </si>
  <si>
    <t>Less than Q1</t>
  </si>
  <si>
    <t>Achieved 8% Rise</t>
  </si>
  <si>
    <t>Not Achieved</t>
  </si>
  <si>
    <t>% Achieve</t>
  </si>
  <si>
    <t>% Not Achieved</t>
  </si>
  <si>
    <t>Weight of Evidence</t>
  </si>
  <si>
    <t>% Achieve - % Not Achieved</t>
  </si>
  <si>
    <t>Greater than Q2</t>
  </si>
  <si>
    <t>Information Value Calculation</t>
  </si>
  <si>
    <t>Decision</t>
  </si>
  <si>
    <t>Q2 - Q3</t>
  </si>
  <si>
    <t>Greater than Q3</t>
  </si>
  <si>
    <t>Q1 - Q3</t>
  </si>
  <si>
    <t>Less than Q2</t>
  </si>
  <si>
    <t>less than or equal to 0</t>
  </si>
  <si>
    <t>greater than 0</t>
  </si>
  <si>
    <t>less than 1</t>
  </si>
  <si>
    <t>greater than or equal to 1</t>
  </si>
  <si>
    <t>TARGET</t>
  </si>
  <si>
    <t>Information Value</t>
  </si>
  <si>
    <t>Removed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</si>
</sst>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"/>
  </numFmts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i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3" fontId="0" fillId="0" borderId="0" xfId="0" applyNumberFormat="1"/>
    <xf numFmtId="17" fontId="0" fillId="0" borderId="0" xfId="0" applyNumberFormat="1"/>
    <xf numFmtId="2" fontId="0" fillId="0" borderId="0" xfId="0" applyNumberFormat="1"/>
    <xf numFmtId="0" fontId="1" fillId="0" borderId="0" xfId="0" applyFont="1"/>
    <xf numFmtId="4" fontId="0" fillId="0" borderId="0" xfId="0" applyNumberFormat="1"/>
    <xf numFmtId="0" fontId="2" fillId="0" borderId="0" xfId="0" applyFont="1"/>
    <xf numFmtId="164" fontId="0" fillId="0" borderId="0" xfId="0" applyNumberFormat="1"/>
    <xf numFmtId="0" fontId="0" fillId="2" borderId="0" xfId="0" applyFill="1"/>
    <xf numFmtId="0" fontId="2" fillId="2" borderId="0" xfId="0" applyFont="1" applyFill="1"/>
    <xf numFmtId="0" fontId="4" fillId="0" borderId="0" xfId="0" applyFont="1"/>
    <xf numFmtId="0" fontId="4" fillId="2" borderId="0" xfId="0" applyFont="1" applyFill="1"/>
    <xf numFmtId="17" fontId="0" fillId="3" borderId="0" xfId="0" applyNumberFormat="1" applyFill="1"/>
    <xf numFmtId="0" fontId="0" fillId="3" borderId="0" xfId="0" applyFill="1"/>
    <xf numFmtId="0" fontId="1" fillId="3" borderId="0" xfId="0" applyFont="1" applyFill="1"/>
    <xf numFmtId="0" fontId="2" fillId="3" borderId="0" xfId="0" applyFont="1" applyFill="1"/>
    <xf numFmtId="17" fontId="0" fillId="4" borderId="0" xfId="0" applyNumberFormat="1" applyFill="1"/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04"/>
  <sheetViews>
    <sheetView topLeftCell="A112" workbookViewId="0">
      <pane xSplit="1" topLeftCell="F1" activePane="topRight" state="frozen"/>
      <selection pane="topRight" activeCell="A130" sqref="A130"/>
    </sheetView>
  </sheetViews>
  <sheetFormatPr defaultRowHeight="14.4" x14ac:dyDescent="0.3"/>
  <cols>
    <col min="1" max="1" width="50" customWidth="1"/>
    <col min="2" max="2" width="15" bestFit="1" customWidth="1"/>
    <col min="3" max="3" width="14.88671875" customWidth="1"/>
    <col min="4" max="5" width="12" bestFit="1" customWidth="1"/>
    <col min="6" max="6" width="11.5546875" customWidth="1"/>
    <col min="7" max="10" width="10.88671875" bestFit="1" customWidth="1"/>
    <col min="11" max="11" width="10.5546875" bestFit="1" customWidth="1"/>
    <col min="12" max="12" width="10.88671875" bestFit="1" customWidth="1"/>
    <col min="13" max="13" width="10.5546875" bestFit="1" customWidth="1"/>
    <col min="14" max="14" width="10.33203125" customWidth="1"/>
    <col min="15" max="15" width="9.88671875" customWidth="1"/>
    <col min="16" max="16" width="11" customWidth="1"/>
    <col min="17" max="17" width="10.6640625" customWidth="1"/>
    <col min="18" max="18" width="10.77734375" customWidth="1"/>
    <col min="19" max="19" width="10.21875" customWidth="1"/>
  </cols>
  <sheetData>
    <row r="1" spans="1:23" x14ac:dyDescent="0.3">
      <c r="B1" s="2">
        <v>45444</v>
      </c>
      <c r="C1" s="2">
        <v>45352</v>
      </c>
      <c r="D1" s="2">
        <v>45261</v>
      </c>
      <c r="E1" s="2">
        <v>45170</v>
      </c>
      <c r="F1" s="2">
        <v>45078</v>
      </c>
      <c r="G1" s="2">
        <v>44986</v>
      </c>
      <c r="H1" s="2">
        <v>44896</v>
      </c>
      <c r="I1" s="2">
        <v>44805</v>
      </c>
      <c r="J1" s="2">
        <v>44713</v>
      </c>
      <c r="K1" s="2">
        <v>44621</v>
      </c>
      <c r="L1" s="2">
        <v>44531</v>
      </c>
      <c r="M1" s="2">
        <v>44440</v>
      </c>
      <c r="N1" s="2">
        <v>44348</v>
      </c>
      <c r="O1" s="2">
        <v>44256</v>
      </c>
      <c r="P1" s="2">
        <v>44166</v>
      </c>
      <c r="Q1" s="2">
        <v>44075</v>
      </c>
      <c r="R1" s="2">
        <v>43983</v>
      </c>
      <c r="S1" s="2">
        <v>43891</v>
      </c>
      <c r="T1" s="2"/>
      <c r="U1" s="2"/>
      <c r="V1" s="2"/>
      <c r="W1" s="2"/>
    </row>
    <row r="2" spans="1:23" x14ac:dyDescent="0.3">
      <c r="A2" t="s">
        <v>10</v>
      </c>
    </row>
    <row r="3" spans="1:23" x14ac:dyDescent="0.3">
      <c r="A3" t="s">
        <v>0</v>
      </c>
      <c r="B3">
        <v>7373670</v>
      </c>
      <c r="C3" s="1">
        <v>7162827</v>
      </c>
      <c r="D3" s="3">
        <v>7792235</v>
      </c>
      <c r="E3" s="1">
        <v>6076894</v>
      </c>
      <c r="F3" s="1">
        <v>6487574</v>
      </c>
      <c r="G3" s="1">
        <v>5984618</v>
      </c>
      <c r="H3" s="1">
        <v>6407945</v>
      </c>
      <c r="I3" s="1">
        <v>5271699</v>
      </c>
      <c r="J3" s="1">
        <v>5600185</v>
      </c>
      <c r="K3" s="1">
        <v>5803596</v>
      </c>
      <c r="L3" s="1">
        <v>5720538</v>
      </c>
      <c r="M3" s="1">
        <v>5149289</v>
      </c>
      <c r="N3" s="1">
        <v>4422232</v>
      </c>
      <c r="O3" s="1">
        <v>4761243</v>
      </c>
      <c r="P3" s="1">
        <v>4768212</v>
      </c>
      <c r="Q3" s="1">
        <v>4458900</v>
      </c>
      <c r="R3" s="1">
        <v>2951455</v>
      </c>
      <c r="S3" s="1">
        <v>3481549</v>
      </c>
    </row>
    <row r="4" spans="1:23" x14ac:dyDescent="0.3">
      <c r="A4" t="s">
        <v>1</v>
      </c>
      <c r="B4">
        <v>-651254</v>
      </c>
      <c r="C4" s="1">
        <v>-635640</v>
      </c>
      <c r="D4" s="1">
        <v>-610916</v>
      </c>
      <c r="E4" s="1">
        <v>-597671</v>
      </c>
      <c r="F4" s="1">
        <v>-642690</v>
      </c>
      <c r="G4" s="1">
        <v>-639612</v>
      </c>
      <c r="H4" s="1">
        <v>-770285</v>
      </c>
      <c r="I4" s="1">
        <v>-737226</v>
      </c>
      <c r="J4" s="1">
        <v>-658766</v>
      </c>
      <c r="K4" s="1">
        <v>-512526</v>
      </c>
      <c r="L4" s="1">
        <v>-491519</v>
      </c>
      <c r="M4" s="1">
        <v>-485221</v>
      </c>
      <c r="N4" s="1">
        <v>-440664</v>
      </c>
      <c r="O4" s="1">
        <v>-440391</v>
      </c>
      <c r="P4" s="1">
        <v>-476438</v>
      </c>
      <c r="Q4" s="1">
        <v>-526722</v>
      </c>
      <c r="R4" s="1">
        <v>-429565</v>
      </c>
      <c r="S4" s="1">
        <v>-439891</v>
      </c>
    </row>
    <row r="5" spans="1:23" x14ac:dyDescent="0.3">
      <c r="A5" t="s">
        <v>2</v>
      </c>
      <c r="B5">
        <v>6722416</v>
      </c>
      <c r="C5" s="1">
        <v>6527187</v>
      </c>
      <c r="D5" s="1">
        <v>7181319</v>
      </c>
      <c r="E5" s="1">
        <v>5479223</v>
      </c>
      <c r="F5" s="1">
        <v>5844884</v>
      </c>
      <c r="G5" s="1">
        <v>5345006</v>
      </c>
      <c r="H5" s="1">
        <v>5637660</v>
      </c>
      <c r="I5" s="1">
        <v>4534473</v>
      </c>
      <c r="J5" s="1">
        <v>4941419</v>
      </c>
      <c r="K5" s="1">
        <v>5291070</v>
      </c>
      <c r="L5" s="1">
        <v>5229019</v>
      </c>
      <c r="M5" s="1">
        <v>4664068</v>
      </c>
      <c r="N5" s="1">
        <v>3981568</v>
      </c>
      <c r="O5" s="1">
        <v>4320852</v>
      </c>
      <c r="P5" s="1">
        <v>4291774</v>
      </c>
      <c r="Q5" s="1">
        <v>3932178</v>
      </c>
      <c r="R5" s="1">
        <v>2521890</v>
      </c>
      <c r="S5" s="1">
        <v>3041658</v>
      </c>
    </row>
    <row r="6" spans="1:23" x14ac:dyDescent="0.3">
      <c r="A6" t="s">
        <v>3</v>
      </c>
      <c r="B6">
        <v>0</v>
      </c>
    </row>
    <row r="7" spans="1:23" x14ac:dyDescent="0.3">
      <c r="A7" t="s">
        <v>4</v>
      </c>
      <c r="B7">
        <v>1663506</v>
      </c>
      <c r="C7" s="1">
        <v>1764710</v>
      </c>
      <c r="D7">
        <v>1768490</v>
      </c>
      <c r="E7" s="1">
        <v>1743799</v>
      </c>
      <c r="F7" s="1">
        <v>1732563</v>
      </c>
      <c r="G7" s="1">
        <v>1732591</v>
      </c>
      <c r="H7" s="1">
        <v>1603285</v>
      </c>
      <c r="I7" s="1">
        <v>1401406</v>
      </c>
      <c r="J7" s="1">
        <v>1249129</v>
      </c>
      <c r="K7" s="1">
        <v>737325</v>
      </c>
      <c r="L7" s="1">
        <v>660125</v>
      </c>
      <c r="M7" s="1">
        <v>569896</v>
      </c>
      <c r="N7" s="1">
        <v>549668</v>
      </c>
      <c r="O7" s="1">
        <v>575408</v>
      </c>
      <c r="P7" s="1">
        <v>503397</v>
      </c>
      <c r="Q7" s="1">
        <v>370869</v>
      </c>
      <c r="R7" s="1">
        <v>365220</v>
      </c>
      <c r="S7" s="1">
        <v>394967</v>
      </c>
    </row>
    <row r="8" spans="1:23" x14ac:dyDescent="0.3">
      <c r="A8" t="s">
        <v>5</v>
      </c>
      <c r="B8">
        <v>1276344</v>
      </c>
      <c r="C8" s="1">
        <v>581700</v>
      </c>
      <c r="D8" s="1">
        <v>124418</v>
      </c>
      <c r="E8" s="1">
        <v>88383</v>
      </c>
      <c r="F8" s="1">
        <v>14551</v>
      </c>
      <c r="G8">
        <v>39</v>
      </c>
      <c r="H8" s="1">
        <v>117762</v>
      </c>
      <c r="I8" s="1">
        <v>19341</v>
      </c>
      <c r="J8" s="1">
        <v>59603</v>
      </c>
      <c r="K8" s="1">
        <v>-26798</v>
      </c>
      <c r="L8" s="1">
        <v>123272</v>
      </c>
      <c r="M8" s="1">
        <v>91197</v>
      </c>
      <c r="N8" s="1">
        <v>95019</v>
      </c>
      <c r="O8" s="1">
        <v>82718</v>
      </c>
      <c r="P8" s="1">
        <v>22862</v>
      </c>
      <c r="Q8" t="s">
        <v>101</v>
      </c>
      <c r="R8" s="1">
        <v>137825</v>
      </c>
      <c r="S8" s="1">
        <v>10566</v>
      </c>
    </row>
    <row r="9" spans="1:23" x14ac:dyDescent="0.3">
      <c r="A9" t="s">
        <v>6</v>
      </c>
      <c r="B9">
        <v>1141</v>
      </c>
      <c r="C9" s="1">
        <v>-427083</v>
      </c>
      <c r="D9" s="1">
        <v>13485</v>
      </c>
      <c r="E9" s="1">
        <v>234405</v>
      </c>
      <c r="F9" s="1">
        <v>278319</v>
      </c>
      <c r="G9" s="1">
        <v>207236</v>
      </c>
      <c r="H9" s="1">
        <v>23977</v>
      </c>
      <c r="I9" s="1">
        <v>93197</v>
      </c>
      <c r="J9" s="1">
        <v>-40898</v>
      </c>
      <c r="K9" s="1">
        <v>-127377</v>
      </c>
      <c r="L9" s="1">
        <v>17306</v>
      </c>
      <c r="M9" s="1">
        <v>9833</v>
      </c>
      <c r="N9" s="1">
        <v>-8046</v>
      </c>
      <c r="O9" s="1">
        <v>-11533</v>
      </c>
      <c r="P9" s="1">
        <v>13899</v>
      </c>
      <c r="Q9" s="1">
        <v>19485</v>
      </c>
      <c r="R9" s="1">
        <v>284527</v>
      </c>
      <c r="S9" s="1">
        <v>146133</v>
      </c>
    </row>
    <row r="10" spans="1:23" x14ac:dyDescent="0.3">
      <c r="A10" t="s">
        <v>7</v>
      </c>
      <c r="B10">
        <v>1222</v>
      </c>
      <c r="C10" s="1">
        <v>1945</v>
      </c>
      <c r="D10" s="1">
        <v>2975</v>
      </c>
      <c r="E10" s="1">
        <v>1832</v>
      </c>
      <c r="F10" s="1">
        <v>2516</v>
      </c>
      <c r="G10" s="1">
        <v>2562</v>
      </c>
      <c r="H10">
        <v>689</v>
      </c>
      <c r="I10" s="1">
        <v>2149</v>
      </c>
      <c r="J10" s="1">
        <v>4646</v>
      </c>
      <c r="K10" s="1">
        <v>2755</v>
      </c>
      <c r="L10" s="1">
        <v>3305</v>
      </c>
      <c r="M10" s="1">
        <v>14289</v>
      </c>
      <c r="N10" s="1">
        <v>2214</v>
      </c>
      <c r="O10">
        <v>958</v>
      </c>
      <c r="P10" s="1">
        <v>2436</v>
      </c>
      <c r="Q10" s="1">
        <v>1349</v>
      </c>
      <c r="R10" s="1">
        <v>1544</v>
      </c>
      <c r="S10" s="1">
        <v>1035</v>
      </c>
    </row>
    <row r="11" spans="1:23" x14ac:dyDescent="0.3">
      <c r="A11" t="s">
        <v>8</v>
      </c>
      <c r="B11">
        <v>2942213</v>
      </c>
      <c r="C11" s="1">
        <v>1921272</v>
      </c>
      <c r="D11" s="1">
        <v>1909368</v>
      </c>
      <c r="E11" s="1">
        <v>2068419</v>
      </c>
      <c r="F11" s="1">
        <v>2027949</v>
      </c>
      <c r="G11" s="1">
        <v>1942428</v>
      </c>
      <c r="H11" s="1">
        <v>1745713</v>
      </c>
      <c r="I11" s="1">
        <v>1516093</v>
      </c>
      <c r="J11" s="1">
        <v>1272480</v>
      </c>
      <c r="K11" s="1">
        <v>585905</v>
      </c>
      <c r="L11" s="1">
        <v>804008</v>
      </c>
      <c r="M11" s="1">
        <v>685215</v>
      </c>
      <c r="N11" s="1">
        <v>638855</v>
      </c>
      <c r="O11" s="1">
        <v>647551</v>
      </c>
      <c r="P11" s="1">
        <v>542594</v>
      </c>
      <c r="Q11" s="1">
        <v>391703</v>
      </c>
      <c r="R11" s="1">
        <v>789116</v>
      </c>
      <c r="S11" s="1">
        <v>552701</v>
      </c>
    </row>
    <row r="12" spans="1:23" x14ac:dyDescent="0.3">
      <c r="A12" t="s">
        <v>9</v>
      </c>
      <c r="B12">
        <v>9664629</v>
      </c>
      <c r="C12" s="1">
        <v>8448459</v>
      </c>
      <c r="D12" s="1">
        <v>9090687</v>
      </c>
      <c r="E12" s="1">
        <v>7547642</v>
      </c>
      <c r="F12" s="1">
        <v>7872833</v>
      </c>
      <c r="G12" s="1">
        <v>7287434</v>
      </c>
      <c r="H12" s="1">
        <v>7383373</v>
      </c>
      <c r="I12" s="1">
        <v>6050566</v>
      </c>
      <c r="J12" s="1">
        <v>6213899</v>
      </c>
      <c r="K12" s="1">
        <v>5876975</v>
      </c>
      <c r="L12" s="1">
        <v>6033027</v>
      </c>
      <c r="M12" s="1">
        <v>5349283</v>
      </c>
      <c r="N12" s="1">
        <v>4620423</v>
      </c>
      <c r="O12" s="1">
        <v>4968403</v>
      </c>
      <c r="P12" s="1">
        <v>4834368</v>
      </c>
      <c r="Q12" s="1">
        <v>4323881</v>
      </c>
      <c r="R12" s="1">
        <v>3311006</v>
      </c>
      <c r="S12" s="1">
        <v>3594359</v>
      </c>
    </row>
    <row r="13" spans="1:23" x14ac:dyDescent="0.3">
      <c r="A13" t="s">
        <v>11</v>
      </c>
      <c r="B13">
        <v>0</v>
      </c>
    </row>
    <row r="14" spans="1:23" x14ac:dyDescent="0.3">
      <c r="A14" t="s">
        <v>12</v>
      </c>
      <c r="B14">
        <v>-3397714</v>
      </c>
      <c r="C14" s="1">
        <v>-3367726</v>
      </c>
      <c r="D14" s="1">
        <v>-3365385</v>
      </c>
      <c r="E14" s="1">
        <v>-3116593</v>
      </c>
      <c r="F14" s="1">
        <v>-3227241</v>
      </c>
      <c r="G14" s="1">
        <v>-3188942</v>
      </c>
      <c r="H14" s="1">
        <v>-2488428</v>
      </c>
      <c r="I14" s="1">
        <v>-2158672</v>
      </c>
      <c r="J14" s="1">
        <v>-1892874</v>
      </c>
      <c r="K14" s="1">
        <v>-1724312</v>
      </c>
      <c r="L14" s="1">
        <v>-1915434</v>
      </c>
      <c r="M14" s="1">
        <v>-1690493</v>
      </c>
      <c r="N14" s="1">
        <v>-1159849</v>
      </c>
      <c r="O14" s="1">
        <v>-1199388</v>
      </c>
      <c r="P14" s="1">
        <v>-1017626</v>
      </c>
      <c r="Q14" s="1">
        <v>-1030592</v>
      </c>
      <c r="R14" s="1">
        <v>-624204</v>
      </c>
      <c r="S14" s="1">
        <v>-865529</v>
      </c>
    </row>
    <row r="15" spans="1:23" x14ac:dyDescent="0.3">
      <c r="A15" t="s">
        <v>13</v>
      </c>
      <c r="B15">
        <v>-27083</v>
      </c>
      <c r="C15" s="1">
        <v>-57416</v>
      </c>
      <c r="D15" s="1">
        <v>107203</v>
      </c>
      <c r="E15" s="1">
        <v>-64388</v>
      </c>
      <c r="F15" s="1">
        <v>-35822</v>
      </c>
      <c r="G15" s="1">
        <v>47830</v>
      </c>
      <c r="H15" s="1">
        <v>-117851</v>
      </c>
      <c r="I15" s="1">
        <v>12540</v>
      </c>
      <c r="J15" s="1">
        <v>3713</v>
      </c>
      <c r="K15" s="1">
        <v>-27701</v>
      </c>
      <c r="L15" s="1">
        <v>49757</v>
      </c>
      <c r="M15" s="1">
        <v>28510</v>
      </c>
      <c r="N15" s="1">
        <v>-18054</v>
      </c>
      <c r="O15" s="1">
        <v>2883</v>
      </c>
      <c r="P15" s="1">
        <v>-28846</v>
      </c>
    </row>
    <row r="16" spans="1:23" x14ac:dyDescent="0.3">
      <c r="A16" t="s">
        <v>14</v>
      </c>
      <c r="B16">
        <v>-1375849</v>
      </c>
      <c r="C16" s="1">
        <v>-557262</v>
      </c>
      <c r="D16" s="1">
        <v>-1457538</v>
      </c>
      <c r="E16" s="1">
        <v>-531579</v>
      </c>
      <c r="F16" s="1">
        <v>-903991</v>
      </c>
      <c r="G16" s="1">
        <v>65026</v>
      </c>
      <c r="H16" s="1">
        <v>-254431</v>
      </c>
      <c r="I16" s="1">
        <v>126227</v>
      </c>
      <c r="J16" s="1">
        <v>-1893271</v>
      </c>
      <c r="K16" s="1">
        <v>-1695599</v>
      </c>
      <c r="L16" s="1">
        <v>-1097777</v>
      </c>
      <c r="M16" s="1">
        <v>-943096</v>
      </c>
      <c r="N16" s="1">
        <v>-977378</v>
      </c>
      <c r="O16" s="1">
        <v>-1125175</v>
      </c>
      <c r="P16" s="1">
        <v>-593346</v>
      </c>
      <c r="Q16" s="1">
        <v>-1679697</v>
      </c>
      <c r="R16" s="1">
        <v>-712843</v>
      </c>
      <c r="S16" s="1">
        <v>-614083</v>
      </c>
    </row>
    <row r="17" spans="1:19" x14ac:dyDescent="0.3">
      <c r="A17" t="s">
        <v>15</v>
      </c>
      <c r="B17">
        <v>-1427852</v>
      </c>
      <c r="C17" s="1">
        <v>-1490712</v>
      </c>
      <c r="D17" s="1">
        <v>-1456903</v>
      </c>
      <c r="E17" s="1">
        <v>-1348381</v>
      </c>
      <c r="F17" s="1">
        <v>-1309820</v>
      </c>
      <c r="G17" s="1">
        <v>-1371103</v>
      </c>
      <c r="H17" s="1">
        <v>-1152640</v>
      </c>
      <c r="I17" s="1">
        <v>-1213915</v>
      </c>
      <c r="J17" s="1">
        <v>-1259895</v>
      </c>
      <c r="K17" s="1">
        <v>-1329438</v>
      </c>
      <c r="L17" s="1">
        <v>-969275</v>
      </c>
      <c r="M17" s="1">
        <v>-1125570</v>
      </c>
      <c r="N17" s="1">
        <v>-899348</v>
      </c>
      <c r="O17" s="1">
        <v>-1055840</v>
      </c>
      <c r="P17" s="1">
        <v>-839749</v>
      </c>
      <c r="Q17" s="1">
        <v>-938800</v>
      </c>
      <c r="R17" s="1">
        <v>-811735</v>
      </c>
      <c r="S17" s="1">
        <v>-679170</v>
      </c>
    </row>
    <row r="18" spans="1:19" x14ac:dyDescent="0.3">
      <c r="A18" t="s">
        <v>16</v>
      </c>
      <c r="B18">
        <v>-1373572</v>
      </c>
      <c r="C18" s="1">
        <v>-1495699</v>
      </c>
      <c r="D18" s="1">
        <v>-1149407</v>
      </c>
      <c r="E18" s="1">
        <v>-1347631</v>
      </c>
      <c r="F18" s="1">
        <v>-1352838</v>
      </c>
      <c r="G18" s="1">
        <v>-1261235</v>
      </c>
      <c r="H18" s="1">
        <v>-1275665</v>
      </c>
      <c r="I18" s="1">
        <v>-1027992</v>
      </c>
      <c r="J18" s="1">
        <v>-1000459</v>
      </c>
      <c r="K18" s="1">
        <v>-1733487</v>
      </c>
      <c r="L18" s="1">
        <v>-1113422</v>
      </c>
      <c r="M18" s="1">
        <v>-900725</v>
      </c>
      <c r="N18" s="1">
        <v>-844113</v>
      </c>
      <c r="O18" s="1">
        <v>-868106</v>
      </c>
      <c r="P18" s="1">
        <v>-973652</v>
      </c>
      <c r="Q18" s="1">
        <v>-601376</v>
      </c>
      <c r="R18" s="1">
        <v>-982325</v>
      </c>
      <c r="S18" s="1">
        <v>-767517</v>
      </c>
    </row>
    <row r="19" spans="1:19" x14ac:dyDescent="0.3">
      <c r="A19" t="s">
        <v>17</v>
      </c>
      <c r="B19">
        <v>-180293</v>
      </c>
      <c r="C19" s="1">
        <v>117878</v>
      </c>
      <c r="D19" s="1">
        <v>-846790</v>
      </c>
      <c r="E19" s="1">
        <v>-131687</v>
      </c>
      <c r="F19" s="1">
        <v>52814</v>
      </c>
      <c r="G19" s="1">
        <v>-156114</v>
      </c>
      <c r="H19" s="1">
        <v>-589582</v>
      </c>
      <c r="I19" s="1">
        <v>-503089</v>
      </c>
      <c r="J19" s="1">
        <v>-365395</v>
      </c>
    </row>
    <row r="20" spans="1:19" x14ac:dyDescent="0.3">
      <c r="A20" t="s">
        <v>18</v>
      </c>
      <c r="B20">
        <v>-158596</v>
      </c>
      <c r="C20" s="1">
        <v>-401350</v>
      </c>
      <c r="D20" s="1">
        <v>-204094</v>
      </c>
      <c r="E20" s="1">
        <v>-57888</v>
      </c>
      <c r="F20" s="1">
        <v>-386791</v>
      </c>
      <c r="G20" s="1">
        <v>-602136</v>
      </c>
      <c r="H20" s="1">
        <v>-228725</v>
      </c>
      <c r="I20" s="1">
        <v>-186831</v>
      </c>
      <c r="J20" s="1">
        <v>1129929</v>
      </c>
      <c r="K20" s="1">
        <v>1353414</v>
      </c>
      <c r="L20" s="1">
        <v>-94335</v>
      </c>
      <c r="M20" s="1">
        <v>-98891</v>
      </c>
      <c r="N20" s="1">
        <v>-85300</v>
      </c>
      <c r="O20" s="1">
        <v>94957</v>
      </c>
      <c r="P20" s="1">
        <v>-37874</v>
      </c>
      <c r="Q20" s="1">
        <v>-47262</v>
      </c>
      <c r="R20" s="1">
        <v>-86217</v>
      </c>
      <c r="S20">
        <v>-824</v>
      </c>
    </row>
    <row r="21" spans="1:19" x14ac:dyDescent="0.3">
      <c r="A21" t="s">
        <v>19</v>
      </c>
      <c r="B21">
        <v>-7940959</v>
      </c>
      <c r="C21" s="1">
        <v>-7252287</v>
      </c>
      <c r="D21" s="1">
        <v>-8372914</v>
      </c>
      <c r="E21" s="1">
        <v>-6598147</v>
      </c>
      <c r="F21" s="1">
        <v>-7163689</v>
      </c>
      <c r="G21" s="1">
        <v>-6466674</v>
      </c>
      <c r="H21" s="1">
        <v>-6107322</v>
      </c>
      <c r="I21" s="1">
        <v>-4951732</v>
      </c>
      <c r="J21" s="1">
        <v>-5278252</v>
      </c>
      <c r="K21" s="1">
        <v>-5157123</v>
      </c>
      <c r="L21" s="1">
        <v>-5140486</v>
      </c>
      <c r="M21" s="1">
        <v>-4730265</v>
      </c>
      <c r="N21" s="1">
        <v>-3984042</v>
      </c>
      <c r="O21" s="1">
        <v>-4150669</v>
      </c>
      <c r="P21" s="1">
        <v>-3491093</v>
      </c>
      <c r="Q21" s="1">
        <v>-4297727</v>
      </c>
      <c r="R21" s="1">
        <v>-3217324</v>
      </c>
      <c r="S21" s="1">
        <v>-2927123</v>
      </c>
    </row>
    <row r="22" spans="1:19" x14ac:dyDescent="0.3">
      <c r="A22" t="s">
        <v>20</v>
      </c>
      <c r="B22">
        <v>1723670</v>
      </c>
      <c r="C22" s="1">
        <v>1196172</v>
      </c>
      <c r="D22" s="1">
        <v>717773</v>
      </c>
      <c r="E22" s="1">
        <v>949495</v>
      </c>
      <c r="F22" s="1">
        <v>709144</v>
      </c>
      <c r="G22" s="1">
        <v>820760</v>
      </c>
      <c r="H22" s="1">
        <v>1276051</v>
      </c>
      <c r="I22" s="1">
        <v>1098834</v>
      </c>
      <c r="J22" s="1">
        <v>935647</v>
      </c>
      <c r="K22" s="1">
        <v>719852</v>
      </c>
      <c r="L22" s="1">
        <v>892541</v>
      </c>
      <c r="M22" s="1">
        <v>619018</v>
      </c>
      <c r="N22" s="1">
        <v>636381</v>
      </c>
      <c r="O22" s="1">
        <v>817734</v>
      </c>
      <c r="P22" s="1">
        <v>1343275</v>
      </c>
      <c r="Q22" s="1">
        <v>26154</v>
      </c>
      <c r="R22" s="1">
        <v>93682</v>
      </c>
      <c r="S22" s="1">
        <v>667236</v>
      </c>
    </row>
    <row r="23" spans="1:19" x14ac:dyDescent="0.3">
      <c r="A23" t="s">
        <v>21</v>
      </c>
      <c r="B23">
        <v>-521075</v>
      </c>
      <c r="C23" s="1">
        <v>-342559</v>
      </c>
      <c r="D23" s="1">
        <v>413107</v>
      </c>
      <c r="E23" s="1">
        <v>-249020</v>
      </c>
      <c r="F23" s="1">
        <v>-203731</v>
      </c>
      <c r="G23" s="1">
        <v>-319124</v>
      </c>
      <c r="H23" s="1">
        <v>-547994</v>
      </c>
      <c r="I23" s="1">
        <v>-335986</v>
      </c>
      <c r="J23" s="1">
        <v>-245442</v>
      </c>
      <c r="K23" s="1">
        <v>-218086</v>
      </c>
      <c r="L23" s="1">
        <v>-198570</v>
      </c>
      <c r="M23" s="1">
        <v>-128240</v>
      </c>
      <c r="N23" s="1">
        <v>-132464</v>
      </c>
      <c r="O23" s="1">
        <v>-401532</v>
      </c>
      <c r="P23" s="1">
        <v>-358488</v>
      </c>
      <c r="Q23" s="1">
        <v>-22686</v>
      </c>
      <c r="R23" s="1">
        <v>-40277</v>
      </c>
      <c r="S23" s="1">
        <v>-187413</v>
      </c>
    </row>
    <row r="24" spans="1:19" x14ac:dyDescent="0.3">
      <c r="A24" t="s">
        <v>22</v>
      </c>
      <c r="B24">
        <v>1202595</v>
      </c>
      <c r="C24" s="1">
        <v>853613</v>
      </c>
      <c r="D24" s="1">
        <v>1130880</v>
      </c>
      <c r="E24" s="1">
        <v>700475</v>
      </c>
      <c r="F24" s="1">
        <v>505413</v>
      </c>
      <c r="G24" s="1">
        <v>501636</v>
      </c>
      <c r="H24" s="1">
        <v>728057</v>
      </c>
      <c r="I24" s="1">
        <v>762848</v>
      </c>
      <c r="J24" s="1">
        <v>690205</v>
      </c>
      <c r="K24" s="1">
        <v>501766</v>
      </c>
      <c r="L24" s="1">
        <v>693971</v>
      </c>
      <c r="M24" s="1">
        <v>490778</v>
      </c>
      <c r="N24" s="1">
        <v>503917</v>
      </c>
      <c r="O24" s="1">
        <v>416202</v>
      </c>
      <c r="P24" s="1">
        <v>984787</v>
      </c>
      <c r="Q24" s="1">
        <v>3468</v>
      </c>
      <c r="R24" s="1">
        <v>53405</v>
      </c>
      <c r="S24" s="1">
        <v>479823</v>
      </c>
    </row>
    <row r="25" spans="1:19" x14ac:dyDescent="0.3">
      <c r="A25" t="s">
        <v>23</v>
      </c>
      <c r="B25">
        <v>0</v>
      </c>
    </row>
    <row r="26" spans="1:19" x14ac:dyDescent="0.3">
      <c r="A26" t="s">
        <v>24</v>
      </c>
      <c r="B26">
        <v>1202595</v>
      </c>
      <c r="C26" s="1">
        <v>853613</v>
      </c>
      <c r="D26" s="1">
        <v>1130880</v>
      </c>
      <c r="E26" s="1">
        <v>700475</v>
      </c>
      <c r="F26" s="1">
        <v>505413</v>
      </c>
      <c r="G26" s="1">
        <v>501636</v>
      </c>
      <c r="H26" s="1">
        <v>728057</v>
      </c>
      <c r="I26" s="1">
        <v>762848</v>
      </c>
      <c r="J26" s="1">
        <v>690205</v>
      </c>
      <c r="K26" s="1">
        <v>501766</v>
      </c>
      <c r="L26" s="1">
        <v>693971</v>
      </c>
      <c r="M26" s="1">
        <v>490778</v>
      </c>
      <c r="N26" s="1">
        <v>503917</v>
      </c>
      <c r="O26" s="1">
        <v>416202</v>
      </c>
      <c r="P26" s="1">
        <v>984787</v>
      </c>
      <c r="Q26" s="1">
        <v>3468</v>
      </c>
      <c r="R26" s="1">
        <v>53405</v>
      </c>
      <c r="S26" s="1">
        <v>479823</v>
      </c>
    </row>
    <row r="27" spans="1:19" x14ac:dyDescent="0.3">
      <c r="A27" t="s">
        <v>25</v>
      </c>
      <c r="B27">
        <v>0</v>
      </c>
      <c r="C27" t="s">
        <v>101</v>
      </c>
      <c r="D27" t="s">
        <v>101</v>
      </c>
      <c r="E27" t="s">
        <v>101</v>
      </c>
      <c r="F27" t="s">
        <v>101</v>
      </c>
      <c r="G27" t="s">
        <v>101</v>
      </c>
      <c r="H27" t="s">
        <v>101</v>
      </c>
      <c r="I27" t="s">
        <v>101</v>
      </c>
      <c r="J27" t="s">
        <v>101</v>
      </c>
      <c r="K27" t="s">
        <v>101</v>
      </c>
      <c r="L27" t="s">
        <v>101</v>
      </c>
      <c r="M27" t="s">
        <v>101</v>
      </c>
      <c r="N27" t="s">
        <v>101</v>
      </c>
      <c r="O27" t="s">
        <v>101</v>
      </c>
      <c r="P27" t="s">
        <v>101</v>
      </c>
      <c r="Q27" t="s">
        <v>101</v>
      </c>
      <c r="R27" t="s">
        <v>101</v>
      </c>
      <c r="S27" t="s">
        <v>101</v>
      </c>
    </row>
    <row r="28" spans="1:19" x14ac:dyDescent="0.3">
      <c r="B28">
        <v>1202595</v>
      </c>
      <c r="C28" s="1">
        <v>853613</v>
      </c>
      <c r="D28" s="1">
        <v>1130880</v>
      </c>
      <c r="E28" s="1">
        <v>700475</v>
      </c>
      <c r="F28" s="1">
        <v>505413</v>
      </c>
      <c r="G28" s="1">
        <v>501636</v>
      </c>
      <c r="H28" s="1">
        <v>728057</v>
      </c>
      <c r="I28" s="1">
        <v>762848</v>
      </c>
      <c r="J28" s="1">
        <v>690205</v>
      </c>
      <c r="K28" s="1">
        <v>501766</v>
      </c>
      <c r="L28" s="1">
        <v>693971</v>
      </c>
      <c r="M28" s="1">
        <v>490778</v>
      </c>
      <c r="N28" s="1">
        <v>503917</v>
      </c>
      <c r="O28" s="1">
        <v>416202</v>
      </c>
      <c r="P28" s="1">
        <v>984787</v>
      </c>
      <c r="Q28" s="1">
        <v>3468</v>
      </c>
      <c r="R28" s="1">
        <v>53405</v>
      </c>
      <c r="S28" s="1">
        <v>479823</v>
      </c>
    </row>
    <row r="29" spans="1:19" x14ac:dyDescent="0.3">
      <c r="A29" t="s">
        <v>26</v>
      </c>
      <c r="B29">
        <v>0</v>
      </c>
    </row>
    <row r="30" spans="1:19" x14ac:dyDescent="0.3">
      <c r="A30" t="s">
        <v>27</v>
      </c>
      <c r="B30">
        <v>3.21</v>
      </c>
      <c r="C30">
        <v>2.2799999999999998</v>
      </c>
      <c r="D30">
        <v>3.02</v>
      </c>
      <c r="E30">
        <v>1.87</v>
      </c>
      <c r="F30">
        <v>1.35</v>
      </c>
      <c r="G30">
        <v>1.34</v>
      </c>
      <c r="H30">
        <v>1.94</v>
      </c>
      <c r="I30">
        <v>2.0299999999999998</v>
      </c>
      <c r="J30">
        <v>1.84</v>
      </c>
      <c r="K30">
        <v>1.34</v>
      </c>
      <c r="L30">
        <v>1.85</v>
      </c>
      <c r="M30">
        <v>1.31</v>
      </c>
      <c r="N30">
        <v>1.34</v>
      </c>
      <c r="O30">
        <v>1.1100000000000001</v>
      </c>
      <c r="P30">
        <v>2.63</v>
      </c>
      <c r="Q30">
        <v>0.01</v>
      </c>
      <c r="R30">
        <v>0.14000000000000001</v>
      </c>
      <c r="S30">
        <v>1.28</v>
      </c>
    </row>
    <row r="31" spans="1:19" x14ac:dyDescent="0.3">
      <c r="A31" t="s">
        <v>28</v>
      </c>
      <c r="B31">
        <v>3.21</v>
      </c>
      <c r="C31">
        <v>2.2799999999999998</v>
      </c>
      <c r="D31">
        <v>3.02</v>
      </c>
      <c r="E31">
        <v>1.87</v>
      </c>
      <c r="F31">
        <v>1.35</v>
      </c>
      <c r="G31">
        <v>1.34</v>
      </c>
      <c r="H31">
        <v>1.94</v>
      </c>
      <c r="I31">
        <v>2.0299999999999998</v>
      </c>
      <c r="J31">
        <v>1.84</v>
      </c>
      <c r="K31">
        <v>1.34</v>
      </c>
      <c r="L31">
        <v>1.85</v>
      </c>
      <c r="M31">
        <v>1.31</v>
      </c>
      <c r="N31">
        <v>1.34</v>
      </c>
      <c r="O31">
        <v>1.1100000000000001</v>
      </c>
      <c r="P31">
        <v>2.63</v>
      </c>
      <c r="Q31">
        <v>0.01</v>
      </c>
      <c r="R31">
        <v>0.14000000000000001</v>
      </c>
      <c r="S31">
        <v>1.28</v>
      </c>
    </row>
    <row r="32" spans="1:19" x14ac:dyDescent="0.3">
      <c r="A32" t="s">
        <v>29</v>
      </c>
      <c r="C32" s="1"/>
    </row>
    <row r="33" spans="1:19" x14ac:dyDescent="0.3">
      <c r="A33" t="s">
        <v>30</v>
      </c>
      <c r="B33">
        <v>1970</v>
      </c>
      <c r="C33" s="1">
        <v>2167</v>
      </c>
      <c r="D33" s="1">
        <v>2364</v>
      </c>
      <c r="E33" s="1">
        <v>2563</v>
      </c>
      <c r="F33" s="1">
        <v>2225</v>
      </c>
      <c r="G33" s="1">
        <v>2397</v>
      </c>
      <c r="H33" s="1">
        <v>2566</v>
      </c>
      <c r="I33" s="1">
        <v>2739</v>
      </c>
      <c r="J33" s="1">
        <v>2913</v>
      </c>
      <c r="K33" s="1">
        <v>1265</v>
      </c>
      <c r="L33" s="1">
        <v>1356</v>
      </c>
      <c r="M33" s="1">
        <v>1448</v>
      </c>
      <c r="N33">
        <v>931</v>
      </c>
      <c r="O33">
        <v>373</v>
      </c>
      <c r="P33">
        <v>404</v>
      </c>
      <c r="Q33">
        <v>436</v>
      </c>
      <c r="R33">
        <v>468</v>
      </c>
      <c r="S33">
        <v>387</v>
      </c>
    </row>
    <row r="34" spans="1:19" x14ac:dyDescent="0.3">
      <c r="A34" t="s">
        <v>31</v>
      </c>
      <c r="B34">
        <v>704102</v>
      </c>
      <c r="C34" s="1">
        <v>717231</v>
      </c>
      <c r="D34" s="1">
        <v>707427</v>
      </c>
      <c r="E34" s="1">
        <v>651033</v>
      </c>
      <c r="F34" s="1">
        <v>643808</v>
      </c>
      <c r="G34" s="1">
        <v>608412</v>
      </c>
      <c r="H34" s="1">
        <v>579357</v>
      </c>
      <c r="I34" s="1">
        <v>575198</v>
      </c>
      <c r="J34" s="1">
        <v>587093</v>
      </c>
      <c r="K34" s="1">
        <v>603330</v>
      </c>
      <c r="L34" s="1">
        <v>617745</v>
      </c>
      <c r="M34" s="1">
        <v>603487</v>
      </c>
      <c r="N34" s="1">
        <v>616033</v>
      </c>
      <c r="O34" s="1">
        <v>642863</v>
      </c>
      <c r="P34" s="1">
        <v>660928</v>
      </c>
      <c r="Q34" s="1">
        <v>665871</v>
      </c>
      <c r="R34" s="1">
        <v>682207</v>
      </c>
      <c r="S34" s="1">
        <v>708406</v>
      </c>
    </row>
    <row r="35" spans="1:19" x14ac:dyDescent="0.3">
      <c r="A35" t="s">
        <v>32</v>
      </c>
      <c r="B35">
        <v>609992</v>
      </c>
      <c r="C35" s="1">
        <v>673822</v>
      </c>
      <c r="D35" s="1">
        <v>611661</v>
      </c>
      <c r="E35" s="1">
        <v>550273</v>
      </c>
      <c r="F35" s="1">
        <v>567046</v>
      </c>
      <c r="G35" s="1">
        <v>590504</v>
      </c>
      <c r="H35" s="1">
        <v>556915</v>
      </c>
      <c r="I35" s="1">
        <v>559048</v>
      </c>
      <c r="J35" s="1">
        <v>600428</v>
      </c>
      <c r="K35" s="1">
        <v>569072</v>
      </c>
      <c r="L35" s="1">
        <v>616417</v>
      </c>
      <c r="M35" s="1">
        <v>634460</v>
      </c>
      <c r="N35" s="1">
        <v>647591</v>
      </c>
      <c r="O35" s="1">
        <v>705340</v>
      </c>
      <c r="P35" s="1">
        <v>752393</v>
      </c>
      <c r="Q35" s="1">
        <v>801752</v>
      </c>
      <c r="R35" s="1">
        <v>422726</v>
      </c>
      <c r="S35" s="1">
        <v>428484</v>
      </c>
    </row>
    <row r="36" spans="1:19" x14ac:dyDescent="0.3">
      <c r="A36" t="s">
        <v>33</v>
      </c>
      <c r="B36">
        <v>832739</v>
      </c>
      <c r="C36" s="1">
        <v>838938</v>
      </c>
      <c r="D36" s="1">
        <v>838938</v>
      </c>
      <c r="G36" s="1">
        <v>0</v>
      </c>
      <c r="H36">
        <v>0</v>
      </c>
      <c r="I36">
        <v>0</v>
      </c>
      <c r="J36" s="1">
        <v>194850</v>
      </c>
      <c r="K36" s="1">
        <v>440292</v>
      </c>
      <c r="L36" s="1">
        <v>761098</v>
      </c>
      <c r="M36" s="1">
        <v>959668</v>
      </c>
      <c r="N36" s="1">
        <v>1087908</v>
      </c>
      <c r="O36" s="1">
        <v>1220372</v>
      </c>
      <c r="P36" s="1">
        <v>1621904</v>
      </c>
      <c r="Q36" s="1">
        <v>1980392</v>
      </c>
      <c r="R36" s="1">
        <v>2003078</v>
      </c>
      <c r="S36" s="1">
        <v>2043355</v>
      </c>
    </row>
    <row r="37" spans="1:19" x14ac:dyDescent="0.3">
      <c r="A37" t="s">
        <v>34</v>
      </c>
      <c r="B37">
        <v>46950934</v>
      </c>
      <c r="C37" s="1">
        <v>43457777</v>
      </c>
      <c r="D37" s="1">
        <v>43500215</v>
      </c>
      <c r="E37" s="1">
        <v>43858099</v>
      </c>
      <c r="F37" s="1">
        <v>41992814</v>
      </c>
      <c r="G37" s="1">
        <v>41398435</v>
      </c>
      <c r="H37" s="1">
        <v>42599855</v>
      </c>
      <c r="I37" s="1">
        <v>42390618</v>
      </c>
      <c r="J37" s="1">
        <v>40678721</v>
      </c>
      <c r="K37" s="1">
        <v>36679479</v>
      </c>
      <c r="L37" s="1">
        <v>34217429</v>
      </c>
      <c r="M37" s="1">
        <v>32333242</v>
      </c>
      <c r="N37" s="1">
        <v>30479689</v>
      </c>
      <c r="O37" s="1">
        <v>28912008</v>
      </c>
      <c r="P37" s="1">
        <v>27367792</v>
      </c>
      <c r="Q37" s="1">
        <v>22239017</v>
      </c>
      <c r="R37" s="1">
        <v>20202774</v>
      </c>
      <c r="S37" s="1">
        <v>18712333</v>
      </c>
    </row>
    <row r="38" spans="1:19" x14ac:dyDescent="0.3">
      <c r="A38" t="s">
        <v>35</v>
      </c>
      <c r="B38">
        <v>336763</v>
      </c>
      <c r="C38" s="1">
        <v>328870</v>
      </c>
      <c r="D38" s="1">
        <v>331301</v>
      </c>
      <c r="E38" s="1">
        <v>300164</v>
      </c>
      <c r="F38" s="1">
        <v>285965</v>
      </c>
      <c r="G38" s="1">
        <v>274514</v>
      </c>
      <c r="H38" s="1">
        <v>265060</v>
      </c>
      <c r="I38" s="1">
        <v>250560</v>
      </c>
      <c r="J38" s="1">
        <v>229653</v>
      </c>
      <c r="K38" s="1">
        <v>224191</v>
      </c>
      <c r="L38" s="1">
        <v>224198</v>
      </c>
      <c r="M38" s="1">
        <v>231196</v>
      </c>
      <c r="N38" s="1">
        <v>223647</v>
      </c>
      <c r="O38" s="1">
        <v>221526</v>
      </c>
      <c r="P38" s="1">
        <v>234462</v>
      </c>
      <c r="Q38" s="1">
        <v>230907</v>
      </c>
      <c r="R38" s="1">
        <v>232994</v>
      </c>
      <c r="S38" s="1">
        <v>236700</v>
      </c>
    </row>
    <row r="39" spans="1:19" x14ac:dyDescent="0.3">
      <c r="A39" t="s">
        <v>36</v>
      </c>
      <c r="B39">
        <v>623318</v>
      </c>
      <c r="C39" s="1">
        <v>590744</v>
      </c>
      <c r="D39" s="1">
        <v>465211</v>
      </c>
      <c r="E39" s="1">
        <v>570133</v>
      </c>
      <c r="F39" s="1">
        <v>555287</v>
      </c>
      <c r="G39" s="1">
        <v>712690</v>
      </c>
      <c r="H39" s="1">
        <v>568379</v>
      </c>
      <c r="I39" s="1">
        <v>442323</v>
      </c>
      <c r="J39" s="1">
        <v>391600</v>
      </c>
      <c r="K39" s="1">
        <v>412529</v>
      </c>
      <c r="L39" s="1">
        <v>231587</v>
      </c>
      <c r="M39" s="1">
        <v>268933</v>
      </c>
      <c r="N39" s="1">
        <v>403218</v>
      </c>
      <c r="O39" s="1">
        <v>377003</v>
      </c>
      <c r="P39" s="1">
        <v>323288</v>
      </c>
      <c r="Q39" s="1">
        <v>344063</v>
      </c>
      <c r="R39" s="1">
        <v>272789</v>
      </c>
      <c r="S39" s="1">
        <v>334007</v>
      </c>
    </row>
    <row r="40" spans="1:19" x14ac:dyDescent="0.3">
      <c r="A40" t="s">
        <v>37</v>
      </c>
      <c r="B40">
        <v>2033309</v>
      </c>
      <c r="C40" s="1">
        <v>2190171</v>
      </c>
      <c r="D40" s="1">
        <v>2449089</v>
      </c>
      <c r="E40" s="1">
        <v>1242265</v>
      </c>
      <c r="F40" s="1">
        <v>1463332</v>
      </c>
      <c r="G40" s="1">
        <v>1560314</v>
      </c>
      <c r="H40" s="1">
        <v>1763388</v>
      </c>
      <c r="I40" s="1">
        <v>916251</v>
      </c>
      <c r="J40" s="1">
        <v>1238759</v>
      </c>
      <c r="K40" s="1">
        <v>1181973</v>
      </c>
      <c r="L40" s="1">
        <v>983657</v>
      </c>
      <c r="M40" s="1">
        <v>928549</v>
      </c>
      <c r="N40" s="1">
        <v>924733</v>
      </c>
      <c r="O40" s="1">
        <v>845985</v>
      </c>
      <c r="P40" s="1">
        <v>856281</v>
      </c>
      <c r="Q40" s="1">
        <v>921558</v>
      </c>
      <c r="R40" s="1">
        <v>879844</v>
      </c>
      <c r="S40" s="1">
        <v>1150855</v>
      </c>
    </row>
    <row r="41" spans="1:19" x14ac:dyDescent="0.3">
      <c r="A41" t="s">
        <v>38</v>
      </c>
      <c r="B41">
        <v>1601112</v>
      </c>
      <c r="C41" s="1">
        <v>1620368</v>
      </c>
      <c r="D41" s="1">
        <v>1333537</v>
      </c>
      <c r="E41" s="1">
        <v>1300513</v>
      </c>
      <c r="F41" s="1">
        <v>1151780</v>
      </c>
      <c r="G41" s="1">
        <v>1311977</v>
      </c>
      <c r="H41" s="1">
        <v>1172879</v>
      </c>
      <c r="I41" s="1">
        <v>1083920</v>
      </c>
      <c r="J41" s="1">
        <v>1071706</v>
      </c>
      <c r="K41" s="1">
        <v>1271431</v>
      </c>
      <c r="L41" s="1">
        <v>993325</v>
      </c>
      <c r="M41" s="1">
        <v>890921</v>
      </c>
      <c r="N41" s="1">
        <v>1355992</v>
      </c>
      <c r="O41" s="1">
        <v>946279</v>
      </c>
      <c r="P41" s="1">
        <v>834388</v>
      </c>
      <c r="Q41" s="1">
        <v>980104</v>
      </c>
      <c r="R41" s="1">
        <v>1022788</v>
      </c>
      <c r="S41" s="1">
        <v>1030740</v>
      </c>
    </row>
    <row r="42" spans="1:19" ht="13.5" customHeight="1" x14ac:dyDescent="0.3">
      <c r="A42" t="s">
        <v>39</v>
      </c>
      <c r="B42">
        <v>1379651</v>
      </c>
      <c r="C42" s="1">
        <v>1353313</v>
      </c>
      <c r="D42" s="1">
        <v>1099679</v>
      </c>
      <c r="E42" s="1">
        <v>1040889</v>
      </c>
      <c r="F42" s="1">
        <v>1151621</v>
      </c>
      <c r="G42" s="1">
        <v>909436</v>
      </c>
      <c r="H42" s="1">
        <v>739944</v>
      </c>
      <c r="I42" s="1">
        <v>974845</v>
      </c>
      <c r="J42" s="1">
        <v>648220</v>
      </c>
      <c r="K42" s="1">
        <v>660158</v>
      </c>
      <c r="L42" s="1">
        <v>696920</v>
      </c>
      <c r="M42" s="1">
        <v>564833</v>
      </c>
      <c r="N42" s="1">
        <v>574489</v>
      </c>
      <c r="O42" s="1">
        <v>498739</v>
      </c>
      <c r="P42" s="1">
        <v>554362</v>
      </c>
      <c r="Q42" s="1">
        <v>300232</v>
      </c>
      <c r="R42" s="1">
        <v>336413</v>
      </c>
      <c r="S42" s="1">
        <v>164352</v>
      </c>
    </row>
    <row r="43" spans="1:19" ht="14.25" customHeight="1" x14ac:dyDescent="0.3">
      <c r="A43" t="s">
        <v>40</v>
      </c>
      <c r="B43">
        <v>55073890</v>
      </c>
      <c r="C43" s="1">
        <v>51773401</v>
      </c>
      <c r="D43" s="1">
        <v>51339422</v>
      </c>
      <c r="E43" s="1">
        <v>49515932</v>
      </c>
      <c r="F43" s="1">
        <v>47813878</v>
      </c>
      <c r="G43" s="1">
        <v>47368679</v>
      </c>
      <c r="H43" s="1">
        <v>48248343</v>
      </c>
      <c r="I43" s="1">
        <v>47195502</v>
      </c>
      <c r="J43" s="1">
        <v>45643943</v>
      </c>
      <c r="K43" s="1">
        <v>42043720</v>
      </c>
      <c r="L43" s="1">
        <v>39343732</v>
      </c>
      <c r="M43" s="1">
        <v>37416737</v>
      </c>
      <c r="N43" s="1">
        <v>36314231</v>
      </c>
      <c r="O43" s="1">
        <v>34370488</v>
      </c>
      <c r="P43" s="1">
        <v>33206202</v>
      </c>
      <c r="Q43" s="1">
        <v>28464332</v>
      </c>
      <c r="R43" s="1">
        <v>26056081</v>
      </c>
      <c r="S43" s="1">
        <v>24809619</v>
      </c>
    </row>
    <row r="44" spans="1:19" x14ac:dyDescent="0.3">
      <c r="A44" t="s">
        <v>41</v>
      </c>
      <c r="B44">
        <v>0</v>
      </c>
    </row>
    <row r="45" spans="1:19" x14ac:dyDescent="0.3">
      <c r="A45" t="s">
        <v>42</v>
      </c>
      <c r="B45">
        <v>0</v>
      </c>
    </row>
    <row r="46" spans="1:19" x14ac:dyDescent="0.3">
      <c r="A46" t="s">
        <v>43</v>
      </c>
      <c r="B46">
        <v>1062500</v>
      </c>
      <c r="C46" s="1">
        <v>1062500</v>
      </c>
      <c r="D46" s="1">
        <v>1062500</v>
      </c>
      <c r="E46" s="1">
        <v>1062500</v>
      </c>
      <c r="F46" s="1">
        <v>1062500</v>
      </c>
      <c r="G46" s="1">
        <v>1062500</v>
      </c>
      <c r="H46" s="1">
        <v>1062500</v>
      </c>
      <c r="I46" s="1">
        <v>1062500</v>
      </c>
      <c r="J46" s="1">
        <v>1062500</v>
      </c>
      <c r="K46" s="1">
        <v>1062500</v>
      </c>
      <c r="L46" s="1">
        <v>1062500</v>
      </c>
      <c r="M46" s="1">
        <v>1062500</v>
      </c>
      <c r="N46" s="1">
        <v>1062500</v>
      </c>
      <c r="O46" s="1">
        <v>1062500</v>
      </c>
      <c r="P46" s="1">
        <v>1062500</v>
      </c>
      <c r="Q46" s="1">
        <v>1062500</v>
      </c>
      <c r="R46" s="1">
        <v>1062500</v>
      </c>
      <c r="S46" s="1">
        <v>1062500</v>
      </c>
    </row>
    <row r="47" spans="1:19" x14ac:dyDescent="0.3">
      <c r="A47" s="4" t="s">
        <v>46</v>
      </c>
      <c r="B47">
        <v>798004</v>
      </c>
      <c r="C47" s="1">
        <v>798004</v>
      </c>
      <c r="D47" s="1">
        <v>13617734</v>
      </c>
      <c r="E47" s="1">
        <v>12507699</v>
      </c>
      <c r="F47" s="1">
        <v>11807224</v>
      </c>
      <c r="G47" s="1">
        <v>11301811</v>
      </c>
      <c r="H47" s="1">
        <v>12112675</v>
      </c>
      <c r="I47" s="1">
        <v>11358403</v>
      </c>
      <c r="J47" s="1">
        <v>10595555</v>
      </c>
      <c r="K47" s="1">
        <v>9905350</v>
      </c>
      <c r="L47" s="1">
        <v>10453584</v>
      </c>
      <c r="M47" s="1">
        <v>9769715</v>
      </c>
      <c r="N47" s="1">
        <v>9278937</v>
      </c>
      <c r="O47" s="1">
        <v>8792330</v>
      </c>
      <c r="P47" s="1">
        <v>9290347</v>
      </c>
      <c r="Q47" s="1">
        <v>8300912</v>
      </c>
      <c r="R47" s="1">
        <v>8297444</v>
      </c>
      <c r="S47" s="1">
        <v>8244039</v>
      </c>
    </row>
    <row r="48" spans="1:19" x14ac:dyDescent="0.3">
      <c r="A48" s="4" t="s">
        <v>44</v>
      </c>
      <c r="B48">
        <v>-1710448</v>
      </c>
      <c r="C48" s="1">
        <v>-2158921</v>
      </c>
      <c r="D48" s="1">
        <v>798004</v>
      </c>
      <c r="E48" s="1">
        <v>798004</v>
      </c>
      <c r="F48" s="1">
        <v>798004</v>
      </c>
      <c r="G48" s="1">
        <v>798004</v>
      </c>
      <c r="H48" s="1">
        <v>798004</v>
      </c>
      <c r="I48" s="1">
        <v>798004</v>
      </c>
      <c r="J48" s="1">
        <v>798004</v>
      </c>
      <c r="K48" s="1">
        <v>798004</v>
      </c>
      <c r="L48" s="1">
        <v>798004</v>
      </c>
      <c r="M48" s="1">
        <v>798004</v>
      </c>
      <c r="N48" s="1">
        <v>798004</v>
      </c>
      <c r="O48" s="1">
        <v>798004</v>
      </c>
      <c r="P48" s="1">
        <v>798004</v>
      </c>
      <c r="Q48" s="1">
        <v>798004</v>
      </c>
      <c r="R48" s="1">
        <v>798004</v>
      </c>
      <c r="S48" s="1">
        <v>798004</v>
      </c>
    </row>
    <row r="49" spans="1:19" x14ac:dyDescent="0.3">
      <c r="A49" s="4" t="s">
        <v>45</v>
      </c>
      <c r="B49">
        <v>14267692</v>
      </c>
      <c r="C49" s="1">
        <v>13065097</v>
      </c>
      <c r="D49" s="1">
        <v>-2144892</v>
      </c>
      <c r="E49" s="1">
        <v>-1828234</v>
      </c>
      <c r="F49" s="1">
        <v>-2545362</v>
      </c>
      <c r="G49" s="1">
        <v>-2891073</v>
      </c>
      <c r="H49" s="1">
        <v>-3100255</v>
      </c>
      <c r="I49" s="1">
        <v>-2858667</v>
      </c>
      <c r="J49" s="1">
        <v>-2975276</v>
      </c>
      <c r="K49" s="1">
        <v>-2210590</v>
      </c>
      <c r="L49" s="1">
        <v>-1725658</v>
      </c>
      <c r="M49" s="1">
        <v>-1573201</v>
      </c>
      <c r="N49" s="1">
        <v>-1348150</v>
      </c>
      <c r="O49" s="1">
        <v>-1407498</v>
      </c>
      <c r="P49" s="1">
        <v>-1214604</v>
      </c>
      <c r="Q49" s="1">
        <v>-1301022</v>
      </c>
      <c r="R49" s="1">
        <v>-1261783</v>
      </c>
      <c r="S49" s="1">
        <v>-1518352</v>
      </c>
    </row>
    <row r="50" spans="1:19" x14ac:dyDescent="0.3">
      <c r="A50" t="s">
        <v>47</v>
      </c>
      <c r="B50">
        <v>14417748</v>
      </c>
      <c r="C50" s="1">
        <v>12766680</v>
      </c>
      <c r="D50" s="1">
        <v>13333346</v>
      </c>
      <c r="E50" s="1">
        <v>12539969</v>
      </c>
      <c r="F50" s="1">
        <v>11122366</v>
      </c>
      <c r="G50" s="1">
        <v>10271242</v>
      </c>
      <c r="H50" s="1">
        <v>10872924</v>
      </c>
      <c r="I50" s="1">
        <v>10360240</v>
      </c>
      <c r="J50" s="1">
        <v>9480783</v>
      </c>
      <c r="K50" s="1">
        <v>9555264</v>
      </c>
      <c r="L50" s="1">
        <v>10588430</v>
      </c>
      <c r="M50" s="1">
        <v>10057018</v>
      </c>
      <c r="N50" s="1">
        <v>9791291</v>
      </c>
      <c r="O50" s="1">
        <v>9245336</v>
      </c>
      <c r="P50" s="1">
        <v>9936247</v>
      </c>
      <c r="Q50" s="1">
        <v>8860394</v>
      </c>
      <c r="R50" s="1">
        <v>8896165</v>
      </c>
      <c r="S50" s="1">
        <v>8586191</v>
      </c>
    </row>
    <row r="51" spans="1:19" x14ac:dyDescent="0.3">
      <c r="A51" t="s">
        <v>48</v>
      </c>
      <c r="B51">
        <v>0</v>
      </c>
    </row>
    <row r="52" spans="1:19" x14ac:dyDescent="0.3">
      <c r="A52" t="s">
        <v>49</v>
      </c>
      <c r="B52">
        <v>30060194</v>
      </c>
      <c r="C52" s="1">
        <v>28549811</v>
      </c>
      <c r="D52" s="1">
        <v>27925474</v>
      </c>
      <c r="E52" s="1">
        <v>26828634</v>
      </c>
      <c r="F52" s="1">
        <v>26194257</v>
      </c>
      <c r="G52" s="1">
        <v>25294564</v>
      </c>
      <c r="H52" s="1">
        <v>25338502</v>
      </c>
      <c r="I52" s="1">
        <v>24969988</v>
      </c>
      <c r="J52" s="1">
        <v>25124435</v>
      </c>
      <c r="K52" s="1">
        <v>23175517</v>
      </c>
      <c r="L52" s="1">
        <v>21578691</v>
      </c>
      <c r="M52" s="1">
        <v>20504441</v>
      </c>
      <c r="N52" s="1">
        <v>19596968</v>
      </c>
      <c r="O52" s="1">
        <v>18601188</v>
      </c>
      <c r="P52" s="1">
        <v>17483705</v>
      </c>
      <c r="Q52" s="1">
        <v>16735591</v>
      </c>
      <c r="R52" s="1">
        <v>14968105</v>
      </c>
      <c r="S52" s="1">
        <v>13713843</v>
      </c>
    </row>
    <row r="53" spans="1:19" x14ac:dyDescent="0.3">
      <c r="A53" t="s">
        <v>50</v>
      </c>
      <c r="B53">
        <v>287263</v>
      </c>
      <c r="C53" s="1">
        <v>282317</v>
      </c>
      <c r="D53" s="1">
        <v>276302</v>
      </c>
      <c r="E53" s="1">
        <v>232094</v>
      </c>
      <c r="F53" s="1">
        <v>225893</v>
      </c>
      <c r="G53" s="1">
        <v>219163</v>
      </c>
      <c r="H53" s="1">
        <v>208959</v>
      </c>
      <c r="I53" s="1">
        <v>219634</v>
      </c>
      <c r="J53" s="1">
        <v>212392</v>
      </c>
      <c r="K53" s="1">
        <v>202690</v>
      </c>
      <c r="L53" s="1">
        <v>192629</v>
      </c>
      <c r="M53" s="1">
        <v>179901</v>
      </c>
      <c r="N53" s="1">
        <v>178360</v>
      </c>
      <c r="O53" s="1">
        <v>190775</v>
      </c>
      <c r="P53" s="1">
        <v>2852245</v>
      </c>
      <c r="Q53" s="1">
        <v>170962</v>
      </c>
      <c r="R53" s="1">
        <v>166436</v>
      </c>
      <c r="S53" s="1">
        <v>159560</v>
      </c>
    </row>
    <row r="54" spans="1:19" x14ac:dyDescent="0.3">
      <c r="A54" t="s">
        <v>51</v>
      </c>
      <c r="B54">
        <v>4729837</v>
      </c>
      <c r="C54" s="1">
        <v>4802677</v>
      </c>
      <c r="D54" s="1">
        <v>5014997</v>
      </c>
      <c r="E54" s="1">
        <v>5158104</v>
      </c>
      <c r="F54" s="1">
        <v>4772946</v>
      </c>
      <c r="G54" s="1">
        <v>5190804</v>
      </c>
      <c r="H54" s="1">
        <v>5643918</v>
      </c>
      <c r="I54" s="1">
        <v>5709602</v>
      </c>
      <c r="J54" s="1">
        <v>5533984</v>
      </c>
      <c r="K54" s="1">
        <v>4573116</v>
      </c>
      <c r="L54" s="1">
        <v>3064994</v>
      </c>
      <c r="M54" s="1">
        <v>3125307</v>
      </c>
      <c r="N54" s="1">
        <v>3055548</v>
      </c>
      <c r="O54" s="1">
        <v>3112388</v>
      </c>
      <c r="P54" s="1">
        <v>182332</v>
      </c>
    </row>
    <row r="55" spans="1:19" x14ac:dyDescent="0.3">
      <c r="A55" t="s">
        <v>52</v>
      </c>
      <c r="B55">
        <v>1012190</v>
      </c>
      <c r="C55" s="1">
        <v>909082</v>
      </c>
      <c r="D55" s="1">
        <v>718855</v>
      </c>
      <c r="E55" s="1">
        <v>1071748</v>
      </c>
      <c r="F55" s="1">
        <v>1692236</v>
      </c>
      <c r="G55" s="1">
        <v>2461441</v>
      </c>
      <c r="H55" s="1">
        <v>2246237</v>
      </c>
      <c r="I55" s="1">
        <v>2794987</v>
      </c>
      <c r="J55" s="1">
        <v>2411728</v>
      </c>
      <c r="K55" s="1">
        <v>1729783</v>
      </c>
      <c r="L55" s="1">
        <v>1040255</v>
      </c>
      <c r="M55" s="1">
        <v>951566</v>
      </c>
      <c r="N55" s="1">
        <v>970375</v>
      </c>
      <c r="O55" s="1">
        <v>1000410</v>
      </c>
      <c r="P55" s="1">
        <v>636060</v>
      </c>
      <c r="Q55" s="1">
        <v>709140</v>
      </c>
      <c r="R55" s="1">
        <v>536914</v>
      </c>
      <c r="S55" s="1">
        <v>519783</v>
      </c>
    </row>
    <row r="56" spans="1:19" x14ac:dyDescent="0.3">
      <c r="A56" t="s">
        <v>53</v>
      </c>
      <c r="B56">
        <v>4154822</v>
      </c>
      <c r="C56" s="1">
        <v>4093218</v>
      </c>
      <c r="D56" s="1">
        <v>3693758</v>
      </c>
      <c r="E56" s="1">
        <v>3266454</v>
      </c>
      <c r="F56" s="1">
        <v>3380587</v>
      </c>
      <c r="G56" s="1">
        <v>3494937</v>
      </c>
      <c r="H56" s="1">
        <v>3629485</v>
      </c>
      <c r="I56" s="1">
        <v>2912145</v>
      </c>
      <c r="J56" s="1">
        <v>2556606</v>
      </c>
      <c r="K56" s="1">
        <v>2484388</v>
      </c>
      <c r="L56" s="1">
        <v>2588183</v>
      </c>
      <c r="M56" s="1">
        <v>2303762</v>
      </c>
      <c r="N56" s="1">
        <v>2055537</v>
      </c>
      <c r="O56" s="1">
        <v>1978340</v>
      </c>
      <c r="P56" s="1">
        <v>1890223</v>
      </c>
      <c r="Q56" s="1">
        <v>1794641</v>
      </c>
      <c r="R56" s="1">
        <v>1346001</v>
      </c>
      <c r="S56" s="1">
        <v>1266062</v>
      </c>
    </row>
    <row r="57" spans="1:19" x14ac:dyDescent="0.3">
      <c r="A57" t="s">
        <v>54</v>
      </c>
      <c r="B57">
        <v>411836</v>
      </c>
      <c r="C57" s="1">
        <v>369616</v>
      </c>
      <c r="D57" s="1">
        <v>376690</v>
      </c>
      <c r="E57" s="1">
        <v>418929</v>
      </c>
      <c r="F57" s="1">
        <v>425593</v>
      </c>
      <c r="G57" s="1">
        <v>436528</v>
      </c>
      <c r="H57" s="1">
        <v>308318</v>
      </c>
      <c r="I57" s="1">
        <v>228906</v>
      </c>
      <c r="J57" s="1">
        <v>324015</v>
      </c>
      <c r="K57" s="1">
        <v>322962</v>
      </c>
      <c r="L57" s="1">
        <v>290550</v>
      </c>
      <c r="M57" s="1">
        <v>294742</v>
      </c>
      <c r="N57" s="1">
        <v>666152</v>
      </c>
      <c r="O57" s="1">
        <v>242051</v>
      </c>
      <c r="P57" s="1">
        <v>225390</v>
      </c>
      <c r="Q57" s="1">
        <v>193604</v>
      </c>
      <c r="R57" s="1">
        <v>142460</v>
      </c>
      <c r="S57" s="1">
        <v>564180</v>
      </c>
    </row>
    <row r="58" spans="1:19" x14ac:dyDescent="0.3">
      <c r="A58" t="s">
        <v>55</v>
      </c>
      <c r="B58">
        <v>40656142</v>
      </c>
      <c r="C58" s="1">
        <v>39006721</v>
      </c>
      <c r="D58" s="1">
        <v>38006076</v>
      </c>
      <c r="E58" s="1">
        <v>36975963</v>
      </c>
      <c r="F58" s="1">
        <v>36691512</v>
      </c>
      <c r="G58" s="1">
        <v>37097437</v>
      </c>
      <c r="H58" s="1">
        <v>37375419</v>
      </c>
      <c r="I58" s="1">
        <v>36835262</v>
      </c>
      <c r="J58" s="1">
        <v>36163160</v>
      </c>
      <c r="K58" s="1">
        <v>32488456</v>
      </c>
      <c r="L58" s="1">
        <v>28755302</v>
      </c>
      <c r="M58" s="1">
        <v>27359719</v>
      </c>
      <c r="N58" s="1">
        <v>26522940</v>
      </c>
      <c r="O58" s="1">
        <v>25125152</v>
      </c>
      <c r="P58" s="1">
        <v>23269955</v>
      </c>
      <c r="Q58" s="1">
        <v>19603938</v>
      </c>
      <c r="R58" s="1">
        <v>17159916</v>
      </c>
      <c r="S58" s="1">
        <v>16223428</v>
      </c>
    </row>
    <row r="59" spans="1:19" x14ac:dyDescent="0.3">
      <c r="A59" t="s">
        <v>56</v>
      </c>
      <c r="B59">
        <v>55073890</v>
      </c>
      <c r="C59" s="1">
        <v>51773401</v>
      </c>
      <c r="D59" s="1">
        <v>51339422</v>
      </c>
      <c r="E59" s="1">
        <v>49515932</v>
      </c>
      <c r="F59" s="1">
        <v>47813878</v>
      </c>
      <c r="G59" s="1">
        <v>47368679</v>
      </c>
      <c r="H59" s="1">
        <v>48248343</v>
      </c>
      <c r="I59" s="1">
        <v>47195502</v>
      </c>
      <c r="J59" s="1">
        <v>45643943</v>
      </c>
      <c r="K59" s="1">
        <v>42043720</v>
      </c>
      <c r="L59" s="1">
        <v>39343732</v>
      </c>
      <c r="M59" s="1">
        <v>37416737</v>
      </c>
      <c r="N59" s="1">
        <v>36314231</v>
      </c>
      <c r="O59" s="1">
        <v>34370488</v>
      </c>
      <c r="P59" s="1">
        <v>33206202</v>
      </c>
      <c r="Q59" s="1">
        <v>28464332</v>
      </c>
      <c r="R59" s="1">
        <v>26056081</v>
      </c>
      <c r="S59" s="1">
        <v>24809619</v>
      </c>
    </row>
    <row r="60" spans="1:19" x14ac:dyDescent="0.3">
      <c r="A60" t="s">
        <v>57</v>
      </c>
      <c r="B60">
        <v>38.450000000000003</v>
      </c>
      <c r="C60">
        <v>34.04</v>
      </c>
      <c r="D60">
        <v>35.56</v>
      </c>
      <c r="E60">
        <v>33.44</v>
      </c>
      <c r="F60">
        <v>29.66</v>
      </c>
      <c r="G60">
        <v>27.39</v>
      </c>
      <c r="H60">
        <v>28.99</v>
      </c>
      <c r="I60">
        <v>27.63</v>
      </c>
      <c r="J60">
        <v>25.28</v>
      </c>
      <c r="K60">
        <v>25.48</v>
      </c>
      <c r="L60">
        <v>28.24</v>
      </c>
      <c r="M60">
        <v>26.82</v>
      </c>
      <c r="N60">
        <v>26.11</v>
      </c>
      <c r="O60">
        <v>24.65</v>
      </c>
      <c r="P60">
        <v>26.5</v>
      </c>
      <c r="Q60">
        <v>23.63</v>
      </c>
      <c r="R60">
        <v>23.72</v>
      </c>
      <c r="S60">
        <v>22.9</v>
      </c>
    </row>
    <row r="61" spans="1:19" x14ac:dyDescent="0.3">
      <c r="A61" t="s">
        <v>58</v>
      </c>
      <c r="B61">
        <v>0</v>
      </c>
    </row>
    <row r="62" spans="1:19" x14ac:dyDescent="0.3">
      <c r="A62" t="s">
        <v>59</v>
      </c>
      <c r="B62">
        <v>0</v>
      </c>
    </row>
    <row r="63" spans="1:19" x14ac:dyDescent="0.3">
      <c r="A63" t="s">
        <v>60</v>
      </c>
      <c r="B63">
        <v>2919842</v>
      </c>
      <c r="C63" s="1">
        <v>1196172</v>
      </c>
      <c r="D63" s="1">
        <v>3197172</v>
      </c>
      <c r="E63" s="1">
        <v>2479399</v>
      </c>
      <c r="F63" s="1">
        <v>1529904</v>
      </c>
      <c r="G63" s="1">
        <v>820760</v>
      </c>
      <c r="H63" s="1">
        <v>4030384</v>
      </c>
      <c r="I63" s="1">
        <v>2754333</v>
      </c>
      <c r="J63" s="1">
        <v>1655499</v>
      </c>
      <c r="K63" s="1">
        <v>719852</v>
      </c>
      <c r="L63" s="1">
        <v>2965674</v>
      </c>
      <c r="M63" s="1">
        <v>2073133</v>
      </c>
      <c r="N63" s="1">
        <v>1454115</v>
      </c>
      <c r="O63" s="1">
        <v>817734</v>
      </c>
      <c r="P63" s="1">
        <v>2130347</v>
      </c>
      <c r="Q63" s="1">
        <v>787072</v>
      </c>
      <c r="R63" s="1">
        <v>760918</v>
      </c>
      <c r="S63" s="1">
        <v>667236</v>
      </c>
    </row>
    <row r="64" spans="1:19" x14ac:dyDescent="0.3">
      <c r="A64" t="s">
        <v>61</v>
      </c>
      <c r="B64">
        <v>0</v>
      </c>
    </row>
    <row r="65" spans="1:19" x14ac:dyDescent="0.3">
      <c r="A65" t="s">
        <v>62</v>
      </c>
      <c r="B65">
        <v>70407</v>
      </c>
      <c r="C65" s="1">
        <v>35286</v>
      </c>
      <c r="D65" s="1">
        <v>133393</v>
      </c>
      <c r="E65" s="1">
        <v>87500</v>
      </c>
      <c r="F65" s="1">
        <v>64362</v>
      </c>
      <c r="G65" s="1">
        <v>31478</v>
      </c>
      <c r="H65" s="1">
        <v>132866</v>
      </c>
      <c r="I65" s="1">
        <v>100330</v>
      </c>
      <c r="J65" s="1">
        <v>67707</v>
      </c>
      <c r="K65" s="1">
        <v>33638</v>
      </c>
      <c r="L65" s="1">
        <v>137928</v>
      </c>
      <c r="M65" s="1">
        <v>103076</v>
      </c>
      <c r="N65" s="1">
        <v>68378</v>
      </c>
      <c r="O65" s="1">
        <v>33951</v>
      </c>
      <c r="P65" s="1">
        <v>147038</v>
      </c>
      <c r="Q65" s="1">
        <v>105736</v>
      </c>
      <c r="R65" s="1">
        <v>72974</v>
      </c>
      <c r="S65" s="1">
        <v>34277</v>
      </c>
    </row>
    <row r="66" spans="1:19" x14ac:dyDescent="0.3">
      <c r="A66" t="s">
        <v>63</v>
      </c>
      <c r="B66">
        <v>394</v>
      </c>
      <c r="C66">
        <v>197</v>
      </c>
      <c r="D66">
        <v>722</v>
      </c>
      <c r="E66">
        <v>523</v>
      </c>
      <c r="F66">
        <v>341</v>
      </c>
      <c r="G66">
        <v>170</v>
      </c>
      <c r="H66">
        <v>590</v>
      </c>
      <c r="I66">
        <v>417</v>
      </c>
      <c r="J66">
        <v>243</v>
      </c>
      <c r="K66">
        <v>91</v>
      </c>
      <c r="L66">
        <v>248</v>
      </c>
      <c r="M66">
        <v>156</v>
      </c>
      <c r="N66">
        <v>73</v>
      </c>
      <c r="O66">
        <v>31</v>
      </c>
      <c r="P66">
        <v>147</v>
      </c>
      <c r="Q66">
        <v>115</v>
      </c>
      <c r="R66">
        <v>83</v>
      </c>
      <c r="S66">
        <v>57</v>
      </c>
    </row>
    <row r="67" spans="1:19" x14ac:dyDescent="0.3">
      <c r="A67" t="s">
        <v>64</v>
      </c>
      <c r="B67">
        <v>179979</v>
      </c>
      <c r="C67" s="1">
        <v>90177</v>
      </c>
      <c r="D67" s="1">
        <v>270646</v>
      </c>
      <c r="E67" s="1">
        <v>225647</v>
      </c>
      <c r="F67" s="1">
        <v>148228</v>
      </c>
      <c r="G67" s="1">
        <v>73597</v>
      </c>
      <c r="H67" s="1">
        <v>288857</v>
      </c>
      <c r="I67" s="1">
        <v>218199</v>
      </c>
      <c r="J67" s="1">
        <v>148121</v>
      </c>
      <c r="K67" s="1">
        <v>62191</v>
      </c>
      <c r="L67" s="1">
        <v>245827</v>
      </c>
      <c r="M67" s="1">
        <v>180997</v>
      </c>
      <c r="N67" s="1">
        <v>119024</v>
      </c>
      <c r="O67" s="1">
        <v>59630</v>
      </c>
      <c r="P67" s="1">
        <v>195008</v>
      </c>
      <c r="Q67" s="1">
        <v>134332</v>
      </c>
      <c r="R67" s="1">
        <v>72710</v>
      </c>
      <c r="S67" s="1">
        <v>36162</v>
      </c>
    </row>
    <row r="68" spans="1:19" x14ac:dyDescent="0.3">
      <c r="A68" t="s">
        <v>65</v>
      </c>
      <c r="B68">
        <v>360059</v>
      </c>
      <c r="C68" s="1">
        <v>185924</v>
      </c>
      <c r="D68" s="1">
        <v>759654</v>
      </c>
      <c r="E68" s="1">
        <v>540002</v>
      </c>
      <c r="F68" s="1">
        <v>355146</v>
      </c>
      <c r="G68" s="1">
        <v>185530</v>
      </c>
      <c r="H68" s="1">
        <v>552775</v>
      </c>
      <c r="I68" s="1">
        <v>371518</v>
      </c>
      <c r="J68" s="1">
        <v>216047</v>
      </c>
      <c r="K68" s="1">
        <v>81101</v>
      </c>
      <c r="L68" s="1">
        <v>283492</v>
      </c>
      <c r="M68" s="1">
        <v>222163</v>
      </c>
      <c r="N68" s="1">
        <v>145120</v>
      </c>
      <c r="O68" s="1">
        <v>81330</v>
      </c>
      <c r="P68" s="1">
        <v>124028</v>
      </c>
      <c r="Q68" s="1">
        <v>51234</v>
      </c>
      <c r="R68" s="1">
        <v>30216</v>
      </c>
      <c r="S68" s="1">
        <v>15214</v>
      </c>
    </row>
    <row r="69" spans="1:19" x14ac:dyDescent="0.3">
      <c r="A69" t="s">
        <v>66</v>
      </c>
      <c r="B69">
        <v>25933</v>
      </c>
      <c r="C69" s="1">
        <v>13553</v>
      </c>
      <c r="D69" s="1">
        <v>67029</v>
      </c>
      <c r="E69" s="1">
        <v>35530</v>
      </c>
      <c r="F69" s="1">
        <v>23687</v>
      </c>
      <c r="G69" s="1">
        <v>11843</v>
      </c>
      <c r="H69" s="1">
        <v>50713</v>
      </c>
      <c r="I69" s="1">
        <v>31140</v>
      </c>
      <c r="J69" s="1">
        <v>20760</v>
      </c>
      <c r="K69" s="1">
        <v>10381</v>
      </c>
      <c r="L69" s="1">
        <v>50846</v>
      </c>
      <c r="M69" s="1">
        <v>27211</v>
      </c>
      <c r="N69" s="1">
        <v>18141</v>
      </c>
      <c r="O69" s="1">
        <v>9071</v>
      </c>
      <c r="P69" s="1">
        <v>40834</v>
      </c>
      <c r="Q69" s="1">
        <v>23565</v>
      </c>
      <c r="R69" s="1">
        <v>16031</v>
      </c>
      <c r="S69" s="1">
        <v>9155</v>
      </c>
    </row>
    <row r="70" spans="1:19" x14ac:dyDescent="0.3">
      <c r="A70" t="s">
        <v>103</v>
      </c>
      <c r="C70" s="1"/>
      <c r="D70">
        <v>-18</v>
      </c>
      <c r="E70">
        <v>-18</v>
      </c>
      <c r="F70" t="s">
        <v>101</v>
      </c>
      <c r="H70" s="1">
        <v>-2265</v>
      </c>
      <c r="I70" s="1">
        <v>-2265</v>
      </c>
      <c r="J70">
        <v>-137</v>
      </c>
      <c r="K70" t="s">
        <v>101</v>
      </c>
      <c r="L70" s="1">
        <v>-12161</v>
      </c>
      <c r="M70" s="1">
        <v>-12162</v>
      </c>
      <c r="N70">
        <v>-126</v>
      </c>
      <c r="O70">
        <v>-126</v>
      </c>
    </row>
    <row r="71" spans="1:19" x14ac:dyDescent="0.3">
      <c r="A71" t="s">
        <v>67</v>
      </c>
      <c r="B71">
        <v>-1858044</v>
      </c>
      <c r="C71" s="1">
        <v>-581700</v>
      </c>
      <c r="D71" s="1">
        <v>-227391</v>
      </c>
      <c r="E71" s="1">
        <v>-102973</v>
      </c>
      <c r="F71" s="1">
        <v>-14590</v>
      </c>
      <c r="G71">
        <v>-39</v>
      </c>
      <c r="H71" s="1">
        <v>-169908</v>
      </c>
      <c r="I71" s="1">
        <v>-52146</v>
      </c>
      <c r="J71" s="1">
        <v>-32805</v>
      </c>
      <c r="K71" s="1">
        <v>26798</v>
      </c>
      <c r="L71" s="1">
        <v>-392206</v>
      </c>
      <c r="M71" s="1">
        <v>-268934</v>
      </c>
      <c r="N71" s="1">
        <v>-177737</v>
      </c>
      <c r="O71" s="1">
        <v>-82718</v>
      </c>
      <c r="P71" s="1">
        <v>-171253</v>
      </c>
      <c r="Q71" s="1">
        <v>-148391</v>
      </c>
      <c r="R71" s="1">
        <v>-148391</v>
      </c>
      <c r="S71" s="1">
        <v>-10566</v>
      </c>
    </row>
    <row r="72" spans="1:19" x14ac:dyDescent="0.3">
      <c r="A72" t="s">
        <v>68</v>
      </c>
      <c r="B72">
        <v>425943</v>
      </c>
      <c r="C72" s="1">
        <v>427083</v>
      </c>
      <c r="D72" s="1">
        <v>-733445</v>
      </c>
      <c r="E72" s="1">
        <v>-719960</v>
      </c>
      <c r="F72" s="1">
        <v>-485555</v>
      </c>
      <c r="G72" s="1">
        <v>-207236</v>
      </c>
      <c r="H72" s="1">
        <v>51101</v>
      </c>
      <c r="I72" s="1">
        <v>75078</v>
      </c>
      <c r="J72" s="1">
        <v>168275</v>
      </c>
      <c r="K72" s="1">
        <v>127377</v>
      </c>
      <c r="L72" s="1">
        <v>-7560</v>
      </c>
      <c r="M72" s="1">
        <v>9746</v>
      </c>
      <c r="N72" s="1">
        <v>19579</v>
      </c>
      <c r="O72" s="1">
        <v>11533</v>
      </c>
      <c r="P72" s="1">
        <v>-464044</v>
      </c>
      <c r="Q72" s="1">
        <v>-450145</v>
      </c>
      <c r="R72" s="1">
        <v>-430660</v>
      </c>
      <c r="S72" s="1">
        <v>-146133</v>
      </c>
    </row>
    <row r="73" spans="1:19" x14ac:dyDescent="0.3">
      <c r="A73" t="s">
        <v>69</v>
      </c>
      <c r="B73">
        <v>137984</v>
      </c>
      <c r="C73" s="1">
        <v>185575</v>
      </c>
      <c r="D73" s="1">
        <v>402348</v>
      </c>
      <c r="E73" s="1">
        <v>417428</v>
      </c>
      <c r="F73" s="1">
        <v>565715</v>
      </c>
      <c r="G73" s="1">
        <v>381968</v>
      </c>
      <c r="H73" s="1">
        <v>-2721540</v>
      </c>
      <c r="I73" s="1">
        <v>-2701436</v>
      </c>
      <c r="J73" s="1">
        <v>-2745719</v>
      </c>
      <c r="K73" s="1">
        <v>-1456829</v>
      </c>
      <c r="L73" s="1">
        <v>-193910</v>
      </c>
      <c r="M73" s="1">
        <v>-181947</v>
      </c>
      <c r="N73" s="1">
        <v>-184474</v>
      </c>
      <c r="O73" s="1">
        <v>-181255</v>
      </c>
      <c r="P73" s="1">
        <v>-25088</v>
      </c>
      <c r="Q73" s="1">
        <v>29841</v>
      </c>
      <c r="R73" s="1">
        <v>45732</v>
      </c>
      <c r="S73" s="1">
        <v>-9459</v>
      </c>
    </row>
    <row r="74" spans="1:19" x14ac:dyDescent="0.3">
      <c r="A74" t="s">
        <v>70</v>
      </c>
      <c r="B74">
        <v>-991806</v>
      </c>
      <c r="C74" s="1">
        <v>-262364</v>
      </c>
      <c r="D74" s="1">
        <v>-1931198</v>
      </c>
      <c r="E74" s="1">
        <v>-1323557</v>
      </c>
      <c r="F74" s="1">
        <v>-1034284</v>
      </c>
      <c r="G74" s="1">
        <v>-338567</v>
      </c>
      <c r="H74" s="1">
        <v>-2463162</v>
      </c>
      <c r="I74" s="1">
        <v>-1548069</v>
      </c>
      <c r="J74" s="1">
        <v>-1056779</v>
      </c>
      <c r="K74" s="1">
        <v>-236109</v>
      </c>
      <c r="L74" s="1">
        <v>-837057</v>
      </c>
      <c r="M74" s="1">
        <v>-626004</v>
      </c>
      <c r="N74" s="1">
        <v>-350476</v>
      </c>
      <c r="O74" s="1">
        <v>-186685</v>
      </c>
      <c r="P74" s="1">
        <v>-310243</v>
      </c>
      <c r="Q74" s="1">
        <v>-151994</v>
      </c>
      <c r="R74" s="1">
        <v>-100593</v>
      </c>
      <c r="S74" s="1">
        <v>13555</v>
      </c>
    </row>
    <row r="75" spans="1:19" x14ac:dyDescent="0.3">
      <c r="A75" t="s">
        <v>71</v>
      </c>
      <c r="B75">
        <v>62415</v>
      </c>
      <c r="C75" s="1">
        <v>-117878</v>
      </c>
      <c r="D75" s="1">
        <v>1081777</v>
      </c>
      <c r="E75" s="1">
        <v>234987</v>
      </c>
      <c r="F75" s="1">
        <v>103300</v>
      </c>
      <c r="G75" s="1">
        <v>156114</v>
      </c>
      <c r="H75" s="1">
        <v>2138822</v>
      </c>
      <c r="I75" s="1">
        <v>1549208</v>
      </c>
      <c r="J75" s="1">
        <v>1046119</v>
      </c>
      <c r="K75" s="1">
        <v>680724</v>
      </c>
      <c r="L75" s="1">
        <v>-37540</v>
      </c>
      <c r="M75" s="1">
        <v>-62573</v>
      </c>
      <c r="N75" s="1">
        <v>-64144</v>
      </c>
      <c r="O75" s="1">
        <v>-66108</v>
      </c>
      <c r="P75" s="1">
        <v>104453</v>
      </c>
      <c r="Q75" s="1">
        <v>31877</v>
      </c>
      <c r="R75" s="1">
        <v>-8327</v>
      </c>
      <c r="S75" s="1">
        <v>-7092</v>
      </c>
    </row>
    <row r="76" spans="1:19" x14ac:dyDescent="0.3">
      <c r="A76" t="s">
        <v>109</v>
      </c>
      <c r="B76">
        <v>1333106</v>
      </c>
      <c r="C76" s="1">
        <v>1172025</v>
      </c>
      <c r="D76" s="1">
        <v>3020689</v>
      </c>
      <c r="E76" s="1">
        <v>1874508</v>
      </c>
      <c r="F76" s="1">
        <v>1256254</v>
      </c>
      <c r="G76" s="1">
        <v>1115618</v>
      </c>
      <c r="H76" s="1">
        <v>1889233</v>
      </c>
      <c r="I76" s="1">
        <v>796307</v>
      </c>
      <c r="J76" s="1">
        <v>-512669</v>
      </c>
      <c r="K76" s="1">
        <v>49215</v>
      </c>
      <c r="L76" s="1">
        <v>2203581</v>
      </c>
      <c r="M76" s="1">
        <v>1464862</v>
      </c>
      <c r="N76" s="1">
        <v>1047473</v>
      </c>
      <c r="O76" s="1">
        <v>496388</v>
      </c>
      <c r="P76" s="1">
        <v>1771227</v>
      </c>
      <c r="Q76" s="1">
        <v>413242</v>
      </c>
      <c r="R76" s="1">
        <v>310693</v>
      </c>
      <c r="S76" s="1">
        <v>602406</v>
      </c>
    </row>
    <row r="77" spans="1:19" x14ac:dyDescent="0.3">
      <c r="A77" t="s">
        <v>72</v>
      </c>
      <c r="B77">
        <v>0</v>
      </c>
    </row>
    <row r="78" spans="1:19" x14ac:dyDescent="0.3">
      <c r="A78" t="s">
        <v>73</v>
      </c>
      <c r="B78">
        <v>-5462</v>
      </c>
      <c r="C78" s="1">
        <v>2431</v>
      </c>
      <c r="D78" s="1">
        <v>-66241</v>
      </c>
      <c r="E78" s="1">
        <v>-35104</v>
      </c>
      <c r="F78" s="1">
        <v>-20905</v>
      </c>
      <c r="G78" s="1">
        <v>-9454</v>
      </c>
      <c r="H78" s="1">
        <v>-40862</v>
      </c>
      <c r="I78" s="1">
        <v>-26362</v>
      </c>
      <c r="J78" s="1">
        <v>-5455</v>
      </c>
      <c r="K78">
        <v>7</v>
      </c>
      <c r="L78" s="1">
        <v>10264</v>
      </c>
      <c r="M78" s="1">
        <v>3266</v>
      </c>
      <c r="N78" s="1">
        <v>10815</v>
      </c>
      <c r="O78" s="1">
        <v>12936</v>
      </c>
      <c r="P78" s="1">
        <v>-9790</v>
      </c>
      <c r="Q78" s="1">
        <v>-6235</v>
      </c>
      <c r="R78" s="1">
        <v>-8322</v>
      </c>
      <c r="S78" s="1">
        <v>-12028</v>
      </c>
    </row>
    <row r="79" spans="1:19" x14ac:dyDescent="0.3">
      <c r="A79" t="s">
        <v>74</v>
      </c>
      <c r="B79">
        <v>-158107</v>
      </c>
      <c r="C79" s="1">
        <v>-125533</v>
      </c>
      <c r="D79" s="1">
        <v>103168</v>
      </c>
      <c r="E79" s="1">
        <v>-1754</v>
      </c>
      <c r="F79" s="1">
        <v>13092</v>
      </c>
      <c r="G79" s="1">
        <v>-144311</v>
      </c>
      <c r="H79" s="1">
        <v>-336792</v>
      </c>
      <c r="I79" s="1">
        <v>-210736</v>
      </c>
      <c r="J79" s="1">
        <v>-160013</v>
      </c>
      <c r="K79" s="1">
        <v>-180942</v>
      </c>
      <c r="L79" s="1">
        <v>91701</v>
      </c>
      <c r="M79" s="1">
        <v>54355</v>
      </c>
      <c r="N79" s="1">
        <v>-79930</v>
      </c>
      <c r="O79" s="1">
        <v>-53715</v>
      </c>
      <c r="P79" s="1">
        <v>-135157</v>
      </c>
      <c r="Q79" s="1">
        <v>-155932</v>
      </c>
      <c r="R79" s="1">
        <v>-84658</v>
      </c>
      <c r="S79" s="1">
        <v>-145876</v>
      </c>
    </row>
    <row r="80" spans="1:19" x14ac:dyDescent="0.3">
      <c r="A80" t="s">
        <v>75</v>
      </c>
      <c r="B80">
        <v>415780</v>
      </c>
      <c r="C80" s="1">
        <v>258918</v>
      </c>
      <c r="D80" s="1">
        <v>-685701</v>
      </c>
      <c r="E80" s="1">
        <v>521123</v>
      </c>
      <c r="F80" s="1">
        <v>300056</v>
      </c>
      <c r="G80" s="1">
        <v>203075</v>
      </c>
      <c r="H80" s="1">
        <v>-779731</v>
      </c>
      <c r="I80" s="1">
        <v>67406</v>
      </c>
      <c r="J80" s="1">
        <v>-255102</v>
      </c>
      <c r="K80" s="1">
        <v>-198316</v>
      </c>
      <c r="L80" s="1">
        <v>-127376</v>
      </c>
      <c r="M80" s="1">
        <v>-72268</v>
      </c>
      <c r="N80" s="1">
        <v>-68452</v>
      </c>
      <c r="O80" s="1">
        <v>10296</v>
      </c>
      <c r="P80" s="1">
        <v>-112732</v>
      </c>
      <c r="Q80" s="1">
        <v>-178009</v>
      </c>
      <c r="R80" s="1">
        <v>-136295</v>
      </c>
      <c r="S80" s="1">
        <v>-407306</v>
      </c>
    </row>
    <row r="81" spans="1:19" x14ac:dyDescent="0.3">
      <c r="A81" t="s">
        <v>76</v>
      </c>
      <c r="B81">
        <v>-258944</v>
      </c>
      <c r="C81" s="1">
        <v>-281445</v>
      </c>
      <c r="D81" s="1">
        <v>-257297</v>
      </c>
      <c r="E81" s="1">
        <v>-241064</v>
      </c>
      <c r="F81" s="1">
        <v>-121895</v>
      </c>
      <c r="G81" s="1">
        <v>-155366</v>
      </c>
      <c r="H81" s="1">
        <v>-179554</v>
      </c>
      <c r="I81" s="1">
        <v>-90595</v>
      </c>
      <c r="J81" s="1">
        <v>-193727</v>
      </c>
      <c r="K81" s="1">
        <v>-278107</v>
      </c>
      <c r="L81" s="1">
        <v>-269420</v>
      </c>
      <c r="M81" s="1">
        <v>-119597</v>
      </c>
      <c r="N81" s="1">
        <v>-535826</v>
      </c>
      <c r="O81" s="1">
        <v>-124185</v>
      </c>
      <c r="P81" s="1">
        <v>-449785</v>
      </c>
      <c r="Q81" s="1">
        <v>-584164</v>
      </c>
      <c r="R81" s="1">
        <v>-186218</v>
      </c>
      <c r="S81" s="1">
        <v>-106779</v>
      </c>
    </row>
    <row r="82" spans="1:19" x14ac:dyDescent="0.3">
      <c r="B82">
        <v>-6733</v>
      </c>
      <c r="C82" s="1">
        <v>-145629</v>
      </c>
      <c r="D82" s="1">
        <v>-906071</v>
      </c>
      <c r="E82" s="1">
        <v>243201</v>
      </c>
      <c r="F82" s="1">
        <v>170348</v>
      </c>
      <c r="G82" s="1">
        <v>-106056</v>
      </c>
      <c r="H82" s="1">
        <v>-1336939</v>
      </c>
      <c r="I82" s="1">
        <v>-260287</v>
      </c>
      <c r="J82" s="1">
        <v>-614297</v>
      </c>
      <c r="K82" s="1">
        <v>-657358</v>
      </c>
      <c r="L82" s="1">
        <v>-294831</v>
      </c>
      <c r="M82" s="1">
        <v>-134244</v>
      </c>
      <c r="N82" s="1">
        <v>-673393</v>
      </c>
      <c r="O82" s="1">
        <v>-154668</v>
      </c>
      <c r="P82" s="1">
        <v>-707464</v>
      </c>
      <c r="Q82" s="1">
        <v>-924340</v>
      </c>
      <c r="R82" s="1">
        <v>-415493</v>
      </c>
      <c r="S82" s="1">
        <v>-671989</v>
      </c>
    </row>
    <row r="83" spans="1:19" x14ac:dyDescent="0.3">
      <c r="A83" t="s">
        <v>77</v>
      </c>
      <c r="B83">
        <v>0</v>
      </c>
    </row>
    <row r="84" spans="1:19" x14ac:dyDescent="0.3">
      <c r="A84" t="s">
        <v>78</v>
      </c>
      <c r="B84">
        <v>2134720</v>
      </c>
      <c r="C84" s="1">
        <v>624337</v>
      </c>
      <c r="D84" s="1">
        <v>2742320</v>
      </c>
      <c r="E84" s="1">
        <v>1490132</v>
      </c>
      <c r="F84" s="1">
        <v>855755</v>
      </c>
      <c r="G84" s="1">
        <v>-43938</v>
      </c>
      <c r="H84" s="1">
        <v>3845745</v>
      </c>
      <c r="I84" s="1">
        <v>3477231</v>
      </c>
      <c r="J84" s="1">
        <v>3631678</v>
      </c>
      <c r="K84" s="1">
        <v>1682760</v>
      </c>
      <c r="L84" s="1">
        <v>4094986</v>
      </c>
      <c r="M84" s="1">
        <v>3020736</v>
      </c>
      <c r="N84" s="1">
        <v>2113263</v>
      </c>
      <c r="O84" s="1">
        <v>1117483</v>
      </c>
      <c r="P84" s="1">
        <v>7106603</v>
      </c>
      <c r="Q84" s="1">
        <v>6358489</v>
      </c>
      <c r="R84" s="1">
        <v>4591003</v>
      </c>
      <c r="S84" s="1">
        <v>3336741</v>
      </c>
    </row>
    <row r="85" spans="1:19" x14ac:dyDescent="0.3">
      <c r="A85" t="s">
        <v>79</v>
      </c>
      <c r="B85">
        <v>303466</v>
      </c>
      <c r="C85" s="1">
        <v>206629</v>
      </c>
      <c r="D85" s="1">
        <v>-1371949</v>
      </c>
      <c r="E85" s="1">
        <v>-1021028</v>
      </c>
      <c r="F85" s="1">
        <v>-372562</v>
      </c>
      <c r="G85" s="1">
        <v>343180</v>
      </c>
      <c r="H85" s="1">
        <v>1205982</v>
      </c>
      <c r="I85" s="1">
        <v>1754732</v>
      </c>
      <c r="J85" s="1">
        <v>1371473</v>
      </c>
      <c r="K85" s="1">
        <v>689528</v>
      </c>
      <c r="L85" s="1">
        <v>404195</v>
      </c>
      <c r="M85" s="1">
        <v>315506</v>
      </c>
      <c r="N85" s="1">
        <v>334315</v>
      </c>
      <c r="O85" s="1">
        <v>364350</v>
      </c>
      <c r="P85" s="1">
        <v>207503</v>
      </c>
      <c r="Q85" s="1">
        <v>280583</v>
      </c>
      <c r="R85" s="1">
        <v>108357</v>
      </c>
      <c r="S85" s="1">
        <v>91226</v>
      </c>
    </row>
    <row r="86" spans="1:19" x14ac:dyDescent="0.3">
      <c r="A86" t="s">
        <v>80</v>
      </c>
      <c r="B86">
        <v>31706</v>
      </c>
      <c r="C86" s="1">
        <v>217162</v>
      </c>
      <c r="D86" s="1">
        <v>-78347</v>
      </c>
      <c r="E86" s="1">
        <v>-69396</v>
      </c>
      <c r="F86" s="1">
        <v>-236434</v>
      </c>
      <c r="G86" s="1">
        <v>-255736</v>
      </c>
      <c r="H86" s="1">
        <v>-69033</v>
      </c>
      <c r="I86" s="1">
        <v>-228935</v>
      </c>
      <c r="J86" s="1">
        <v>-254288</v>
      </c>
      <c r="K86" s="1">
        <v>-391959</v>
      </c>
      <c r="L86" s="1">
        <v>846818</v>
      </c>
      <c r="M86" s="1">
        <v>497937</v>
      </c>
      <c r="N86" s="1">
        <v>217133</v>
      </c>
      <c r="O86" s="1">
        <v>87370</v>
      </c>
      <c r="P86" s="1">
        <v>685762</v>
      </c>
      <c r="Q86" s="1">
        <v>551453</v>
      </c>
      <c r="R86" s="1">
        <v>54638</v>
      </c>
      <c r="S86" s="1">
        <v>-136004</v>
      </c>
    </row>
    <row r="87" spans="1:19" x14ac:dyDescent="0.3">
      <c r="B87">
        <v>2469892</v>
      </c>
      <c r="C87" s="1">
        <v>1048128</v>
      </c>
      <c r="D87" s="1">
        <v>1292024</v>
      </c>
      <c r="E87" s="1">
        <v>399708</v>
      </c>
      <c r="F87" s="1">
        <v>246759</v>
      </c>
      <c r="G87" s="1">
        <v>43506</v>
      </c>
      <c r="H87" s="1">
        <v>4982694</v>
      </c>
      <c r="I87" s="1">
        <v>5003028</v>
      </c>
      <c r="J87" s="1">
        <v>4748863</v>
      </c>
      <c r="K87" s="1">
        <v>1980329</v>
      </c>
      <c r="L87" s="1">
        <v>5345999</v>
      </c>
      <c r="M87" s="1">
        <v>3834179</v>
      </c>
      <c r="N87" s="1">
        <v>2664711</v>
      </c>
      <c r="O87" s="1">
        <v>1569203</v>
      </c>
      <c r="P87" s="1">
        <v>7999868</v>
      </c>
      <c r="Q87" s="1">
        <v>7190525</v>
      </c>
      <c r="R87" s="1">
        <v>4753998</v>
      </c>
      <c r="S87" s="1">
        <v>3291963</v>
      </c>
    </row>
    <row r="88" spans="1:19" x14ac:dyDescent="0.3">
      <c r="A88" t="s">
        <v>81</v>
      </c>
      <c r="B88">
        <v>3796265</v>
      </c>
      <c r="C88" s="1">
        <v>2074524</v>
      </c>
      <c r="D88" s="1">
        <v>3406642</v>
      </c>
      <c r="E88" s="1">
        <v>2517417</v>
      </c>
      <c r="F88" s="1">
        <v>1673361</v>
      </c>
      <c r="G88" s="1">
        <v>1053068</v>
      </c>
      <c r="H88" s="1">
        <v>5534988</v>
      </c>
      <c r="I88" s="1">
        <v>5539048</v>
      </c>
      <c r="J88" s="1">
        <v>3621897</v>
      </c>
      <c r="K88" s="1">
        <v>1372186</v>
      </c>
      <c r="L88" s="1">
        <v>7254749</v>
      </c>
      <c r="M88" s="1">
        <v>5164797</v>
      </c>
      <c r="N88" s="1">
        <v>3038791</v>
      </c>
      <c r="O88" s="1">
        <v>1910923</v>
      </c>
      <c r="P88" s="1">
        <v>9063631</v>
      </c>
      <c r="Q88" s="1">
        <v>6679427</v>
      </c>
      <c r="R88" s="1">
        <v>4649198</v>
      </c>
      <c r="S88" s="1">
        <v>3222380</v>
      </c>
    </row>
    <row r="89" spans="1:19" x14ac:dyDescent="0.3">
      <c r="A89" t="s">
        <v>82</v>
      </c>
      <c r="B89">
        <v>-432000</v>
      </c>
      <c r="C89" s="1">
        <v>-216000</v>
      </c>
      <c r="D89" s="1">
        <v>-20532</v>
      </c>
      <c r="E89" s="1">
        <v>-12395</v>
      </c>
      <c r="F89" s="1">
        <v>-6753</v>
      </c>
      <c r="G89" s="1">
        <v>-188614</v>
      </c>
    </row>
    <row r="90" spans="1:19" x14ac:dyDescent="0.3">
      <c r="A90" t="s">
        <v>83</v>
      </c>
      <c r="B90">
        <v>-300729</v>
      </c>
      <c r="C90" s="1"/>
      <c r="D90" s="1">
        <v>-1101542</v>
      </c>
      <c r="E90" s="1">
        <v>-885543</v>
      </c>
      <c r="F90" s="1">
        <v>-290650</v>
      </c>
      <c r="H90" s="1">
        <v>-441940</v>
      </c>
      <c r="I90" s="1">
        <v>-189062</v>
      </c>
      <c r="J90" s="1">
        <v>-189061</v>
      </c>
      <c r="L90" s="1">
        <v>-230388</v>
      </c>
      <c r="M90" s="1">
        <v>-29642</v>
      </c>
      <c r="N90" s="1">
        <v>-22113</v>
      </c>
    </row>
    <row r="91" spans="1:19" x14ac:dyDescent="0.3">
      <c r="A91" t="s">
        <v>84</v>
      </c>
      <c r="B91">
        <v>-14972</v>
      </c>
      <c r="C91" s="1">
        <v>-7537</v>
      </c>
      <c r="D91" s="1">
        <v>-599383</v>
      </c>
      <c r="E91" s="1">
        <v>-290650</v>
      </c>
      <c r="F91" s="1">
        <v>-377228</v>
      </c>
      <c r="G91" s="1">
        <v>-1640</v>
      </c>
      <c r="H91" s="1">
        <v>-8170</v>
      </c>
      <c r="I91" s="1">
        <v>-4135</v>
      </c>
      <c r="J91">
        <v>-997</v>
      </c>
      <c r="K91">
        <v>-320</v>
      </c>
      <c r="L91" s="1">
        <v>-40549</v>
      </c>
      <c r="M91" s="1">
        <v>-116330</v>
      </c>
      <c r="N91" s="1">
        <v>-116330</v>
      </c>
      <c r="O91">
        <v>-628</v>
      </c>
      <c r="P91" s="1">
        <v>-4881</v>
      </c>
      <c r="Q91" s="1">
        <v>-3630</v>
      </c>
      <c r="R91">
        <v>-622</v>
      </c>
      <c r="S91">
        <v>-622</v>
      </c>
    </row>
    <row r="92" spans="1:19" x14ac:dyDescent="0.3">
      <c r="A92" t="s">
        <v>85</v>
      </c>
      <c r="B92">
        <v>3048564</v>
      </c>
      <c r="C92" s="1">
        <v>1850987</v>
      </c>
      <c r="D92" s="1">
        <v>1685185</v>
      </c>
      <c r="E92" s="1">
        <v>1328829</v>
      </c>
      <c r="F92" s="1">
        <v>998730</v>
      </c>
      <c r="G92" s="1">
        <v>862814</v>
      </c>
      <c r="H92" s="1">
        <v>5084878</v>
      </c>
      <c r="I92" s="1">
        <v>5345851</v>
      </c>
      <c r="J92" s="1">
        <v>3431839</v>
      </c>
      <c r="K92" s="1">
        <v>1371866</v>
      </c>
      <c r="L92" s="1">
        <v>6983812</v>
      </c>
      <c r="M92" s="1">
        <v>5018825</v>
      </c>
      <c r="N92" s="1">
        <v>2900348</v>
      </c>
      <c r="O92" s="1">
        <v>1910295</v>
      </c>
      <c r="P92" s="1">
        <v>9058750</v>
      </c>
      <c r="Q92" s="1">
        <v>6675797</v>
      </c>
      <c r="R92" s="1">
        <v>4648576</v>
      </c>
      <c r="S92" s="1">
        <v>3221758</v>
      </c>
    </row>
    <row r="93" spans="1:19" x14ac:dyDescent="0.3">
      <c r="A93" t="s">
        <v>86</v>
      </c>
      <c r="C93" s="1"/>
    </row>
    <row r="94" spans="1:19" x14ac:dyDescent="0.3">
      <c r="A94" t="s">
        <v>87</v>
      </c>
      <c r="B94">
        <v>-30359017</v>
      </c>
      <c r="C94" s="1">
        <v>-14784111</v>
      </c>
      <c r="D94" s="1">
        <v>-41704138</v>
      </c>
      <c r="E94" s="1">
        <v>-31640011</v>
      </c>
      <c r="F94" s="1">
        <v>-21504877</v>
      </c>
      <c r="G94" s="1">
        <v>-13640614</v>
      </c>
      <c r="H94" s="1">
        <v>-44374187</v>
      </c>
      <c r="I94" s="1">
        <v>-37139169</v>
      </c>
      <c r="J94" s="1">
        <v>-23405029</v>
      </c>
      <c r="K94" s="1">
        <v>-9708613</v>
      </c>
      <c r="L94" s="1">
        <v>-32522481</v>
      </c>
      <c r="M94" s="1">
        <v>-23206829</v>
      </c>
      <c r="N94" s="1">
        <v>-14661216</v>
      </c>
      <c r="O94" s="1">
        <v>-7330250</v>
      </c>
      <c r="P94" s="1">
        <v>-28726008</v>
      </c>
      <c r="Q94" s="1">
        <v>-25735612</v>
      </c>
      <c r="R94" s="1">
        <v>-16980452</v>
      </c>
      <c r="S94" s="1">
        <v>-8123497</v>
      </c>
    </row>
    <row r="95" spans="1:19" x14ac:dyDescent="0.3">
      <c r="A95" t="s">
        <v>88</v>
      </c>
      <c r="B95">
        <v>29257430</v>
      </c>
      <c r="C95" s="1">
        <v>14769330</v>
      </c>
      <c r="D95" s="1">
        <v>42293266</v>
      </c>
      <c r="E95" s="1">
        <v>32331083</v>
      </c>
      <c r="F95" s="1">
        <v>22489262</v>
      </c>
      <c r="G95" s="1">
        <v>14336698</v>
      </c>
      <c r="H95" s="1">
        <v>40811603</v>
      </c>
      <c r="I95" s="1">
        <v>33506888</v>
      </c>
      <c r="J95" s="1">
        <v>21157497</v>
      </c>
      <c r="K95" s="1">
        <v>9423139</v>
      </c>
    </row>
    <row r="96" spans="1:19" x14ac:dyDescent="0.3">
      <c r="A96" t="s">
        <v>106</v>
      </c>
      <c r="C96" s="1"/>
      <c r="D96" s="1"/>
      <c r="E96" s="1"/>
      <c r="F96" s="1"/>
      <c r="G96" s="1"/>
      <c r="H96" s="1"/>
      <c r="I96" s="1"/>
      <c r="J96" s="1"/>
      <c r="K96" s="1"/>
      <c r="L96" s="1">
        <v>26847462</v>
      </c>
      <c r="M96" s="1">
        <v>19278879</v>
      </c>
      <c r="N96" s="1">
        <v>12415505</v>
      </c>
      <c r="O96" s="1">
        <v>6351834</v>
      </c>
      <c r="P96" s="1">
        <v>17353784</v>
      </c>
      <c r="Q96" s="1">
        <v>19200933</v>
      </c>
      <c r="R96" s="1">
        <v>12474678</v>
      </c>
      <c r="S96" s="1">
        <v>4369052</v>
      </c>
    </row>
    <row r="97" spans="1:19" x14ac:dyDescent="0.3">
      <c r="A97" t="s">
        <v>89</v>
      </c>
      <c r="B97">
        <v>-67081</v>
      </c>
      <c r="C97" s="1">
        <v>-45090</v>
      </c>
      <c r="D97" s="1">
        <v>-217679</v>
      </c>
      <c r="E97" s="1">
        <v>-159176</v>
      </c>
      <c r="F97" s="1">
        <v>-128813</v>
      </c>
      <c r="G97" s="1">
        <v>-60533</v>
      </c>
      <c r="H97" s="1">
        <v>-94488</v>
      </c>
      <c r="I97" s="1">
        <v>-57996</v>
      </c>
      <c r="J97" s="1">
        <v>-37201</v>
      </c>
      <c r="K97" s="1">
        <v>-19288</v>
      </c>
      <c r="L97" s="1">
        <v>-58041</v>
      </c>
      <c r="M97" s="1">
        <v>-45955</v>
      </c>
      <c r="N97" s="1">
        <v>-23766</v>
      </c>
      <c r="O97" s="1">
        <v>-16168</v>
      </c>
      <c r="P97" s="1">
        <v>-132499</v>
      </c>
      <c r="Q97" s="1">
        <v>-96139</v>
      </c>
      <c r="R97" s="1">
        <v>-79713</v>
      </c>
      <c r="S97" s="1">
        <v>-67215</v>
      </c>
    </row>
    <row r="98" spans="1:19" x14ac:dyDescent="0.3">
      <c r="A98" t="s">
        <v>90</v>
      </c>
      <c r="B98">
        <v>-33706</v>
      </c>
      <c r="C98" s="1">
        <v>-26386</v>
      </c>
      <c r="D98" s="1">
        <v>-76152</v>
      </c>
      <c r="E98" s="1">
        <v>-62379</v>
      </c>
      <c r="F98" s="1">
        <v>-48194</v>
      </c>
      <c r="G98" s="1">
        <v>-36951</v>
      </c>
    </row>
    <row r="99" spans="1:19" x14ac:dyDescent="0.3">
      <c r="A99" t="s">
        <v>104</v>
      </c>
      <c r="P99">
        <v>-106</v>
      </c>
      <c r="Q99">
        <v>-107</v>
      </c>
      <c r="R99">
        <v>-107</v>
      </c>
    </row>
    <row r="100" spans="1:19" x14ac:dyDescent="0.3">
      <c r="A100" t="s">
        <v>105</v>
      </c>
      <c r="C100" s="1"/>
      <c r="D100">
        <v>18</v>
      </c>
      <c r="E100">
        <v>18</v>
      </c>
      <c r="H100">
        <v>283</v>
      </c>
      <c r="I100">
        <v>283</v>
      </c>
      <c r="J100">
        <v>283</v>
      </c>
      <c r="K100">
        <v>65</v>
      </c>
    </row>
    <row r="101" spans="1:19" x14ac:dyDescent="0.3">
      <c r="A101" t="s">
        <v>104</v>
      </c>
      <c r="C101" s="1"/>
      <c r="D101">
        <v>-520</v>
      </c>
      <c r="E101">
        <v>-520</v>
      </c>
      <c r="H101" s="1">
        <v>-1800</v>
      </c>
      <c r="I101" s="1">
        <v>-1800</v>
      </c>
      <c r="J101" s="1">
        <v>-1800</v>
      </c>
      <c r="L101" s="1">
        <v>-1200</v>
      </c>
      <c r="M101" s="1">
        <v>-1200</v>
      </c>
      <c r="N101">
        <v>-600</v>
      </c>
    </row>
    <row r="102" spans="1:19" x14ac:dyDescent="0.3">
      <c r="A102" t="s">
        <v>107</v>
      </c>
      <c r="C102" s="1"/>
      <c r="L102" s="1">
        <v>12482</v>
      </c>
      <c r="M102" s="1">
        <v>12482</v>
      </c>
      <c r="N102">
        <v>409</v>
      </c>
      <c r="O102">
        <v>409</v>
      </c>
    </row>
    <row r="103" spans="1:19" x14ac:dyDescent="0.3">
      <c r="A103" t="s">
        <v>91</v>
      </c>
      <c r="B103">
        <v>-1202374</v>
      </c>
      <c r="C103" s="1">
        <v>-86257</v>
      </c>
      <c r="D103" s="1">
        <v>294795</v>
      </c>
      <c r="E103" s="1">
        <v>469015</v>
      </c>
      <c r="F103" s="1">
        <v>807378</v>
      </c>
      <c r="G103" s="1">
        <v>598600</v>
      </c>
      <c r="H103" s="1">
        <v>-3658589</v>
      </c>
      <c r="I103" s="1">
        <v>-3691794</v>
      </c>
      <c r="J103" s="1">
        <v>-2286250</v>
      </c>
      <c r="K103" s="1">
        <v>-304697</v>
      </c>
      <c r="L103" s="1">
        <v>-5721778</v>
      </c>
      <c r="M103" s="1">
        <v>-3962623</v>
      </c>
      <c r="N103" s="1">
        <v>-2269668</v>
      </c>
      <c r="O103" s="1">
        <v>-994175</v>
      </c>
      <c r="P103" s="1">
        <v>-11504829</v>
      </c>
      <c r="Q103" s="1">
        <v>-6630925</v>
      </c>
      <c r="R103" s="1">
        <v>-4585594</v>
      </c>
      <c r="S103" s="1">
        <v>-3821660</v>
      </c>
    </row>
    <row r="104" spans="1:19" x14ac:dyDescent="0.3">
      <c r="A104" t="s">
        <v>92</v>
      </c>
      <c r="B104">
        <v>0</v>
      </c>
    </row>
    <row r="105" spans="1:19" x14ac:dyDescent="0.3">
      <c r="A105" t="s">
        <v>93</v>
      </c>
      <c r="B105">
        <v>-1406250</v>
      </c>
      <c r="C105" s="1">
        <v>-1406250</v>
      </c>
      <c r="D105" s="1">
        <v>-1312500</v>
      </c>
      <c r="E105" s="1">
        <v>-1312500</v>
      </c>
      <c r="F105" s="1">
        <v>-1312500</v>
      </c>
      <c r="G105" s="1">
        <v>-1312500</v>
      </c>
      <c r="H105" s="1">
        <v>-1050000</v>
      </c>
      <c r="I105" s="1">
        <v>-1050000</v>
      </c>
      <c r="J105" s="1">
        <v>-1050000</v>
      </c>
      <c r="K105" s="1">
        <v>-1050000</v>
      </c>
      <c r="L105" s="1">
        <v>-937500</v>
      </c>
      <c r="M105" s="1">
        <v>-937500</v>
      </c>
      <c r="N105" s="1">
        <v>-937500</v>
      </c>
      <c r="O105" s="1">
        <v>-937500</v>
      </c>
    </row>
    <row r="106" spans="1:19" x14ac:dyDescent="0.3">
      <c r="A106" t="s">
        <v>110</v>
      </c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>
        <v>2772300</v>
      </c>
    </row>
    <row r="107" spans="1:19" x14ac:dyDescent="0.3">
      <c r="A107" t="s">
        <v>94</v>
      </c>
      <c r="B107">
        <v>-195114</v>
      </c>
      <c r="C107" s="1">
        <v>-97772</v>
      </c>
      <c r="D107" s="1">
        <v>-376117</v>
      </c>
      <c r="E107" s="1">
        <v>-295010</v>
      </c>
      <c r="F107" s="1">
        <v>-199206</v>
      </c>
      <c r="G107" s="1">
        <v>-107632</v>
      </c>
      <c r="H107" s="1">
        <v>-351033</v>
      </c>
      <c r="I107" s="1">
        <v>-264488</v>
      </c>
      <c r="J107" s="1">
        <v>-177754</v>
      </c>
      <c r="K107" s="1">
        <v>-86343</v>
      </c>
      <c r="L107" s="1">
        <v>-247136</v>
      </c>
      <c r="M107" s="1">
        <v>-177583</v>
      </c>
      <c r="N107" s="1">
        <v>-113815</v>
      </c>
      <c r="O107" s="1">
        <v>-50904</v>
      </c>
      <c r="P107" s="1">
        <v>-198071</v>
      </c>
      <c r="Q107" s="1">
        <v>-139066</v>
      </c>
      <c r="R107" s="1">
        <v>-69851</v>
      </c>
      <c r="S107">
        <v>-748</v>
      </c>
    </row>
    <row r="108" spans="1:19" x14ac:dyDescent="0.3">
      <c r="A108" t="s">
        <v>95</v>
      </c>
      <c r="B108">
        <v>-1601364</v>
      </c>
      <c r="C108" s="1">
        <v>-1504022</v>
      </c>
      <c r="D108" s="1">
        <v>-1688617</v>
      </c>
      <c r="E108" s="1">
        <v>-1607510</v>
      </c>
      <c r="F108" s="1">
        <v>-1511706</v>
      </c>
      <c r="G108" s="1">
        <v>-1420132</v>
      </c>
      <c r="H108" s="1">
        <v>-1401033</v>
      </c>
      <c r="I108" s="1">
        <v>-1314488</v>
      </c>
      <c r="J108" s="1">
        <v>-1227754</v>
      </c>
      <c r="K108" s="1">
        <v>-1136343</v>
      </c>
      <c r="L108" s="1">
        <v>-1184636</v>
      </c>
      <c r="M108" s="1">
        <v>-1115083</v>
      </c>
      <c r="N108" s="1">
        <v>-1051315</v>
      </c>
      <c r="O108" s="1">
        <v>-988404</v>
      </c>
      <c r="P108" s="1">
        <v>2574229</v>
      </c>
      <c r="Q108" s="1">
        <v>-139066</v>
      </c>
      <c r="R108" s="1">
        <v>-69851</v>
      </c>
      <c r="S108">
        <v>-748</v>
      </c>
    </row>
    <row r="109" spans="1:19" x14ac:dyDescent="0.3">
      <c r="A109" t="s">
        <v>96</v>
      </c>
      <c r="B109">
        <v>244826</v>
      </c>
      <c r="C109" s="1">
        <v>260708</v>
      </c>
      <c r="D109" s="1">
        <v>291363</v>
      </c>
      <c r="E109" s="1">
        <v>190334</v>
      </c>
      <c r="F109" s="1">
        <v>294402</v>
      </c>
      <c r="G109" s="1">
        <v>41282</v>
      </c>
      <c r="H109" s="1">
        <v>25256</v>
      </c>
      <c r="I109" s="1">
        <v>339569</v>
      </c>
      <c r="J109" s="1">
        <v>-82165</v>
      </c>
      <c r="K109" s="1">
        <v>-69174</v>
      </c>
      <c r="L109" s="1">
        <v>77398</v>
      </c>
      <c r="M109" s="1">
        <v>-58881</v>
      </c>
      <c r="N109" s="1">
        <v>-420635</v>
      </c>
      <c r="O109" s="1">
        <v>-72284</v>
      </c>
      <c r="P109" s="1">
        <v>128150</v>
      </c>
      <c r="Q109" s="1">
        <v>-94194</v>
      </c>
      <c r="R109" s="1">
        <v>-6869</v>
      </c>
      <c r="S109" s="1">
        <v>-600650</v>
      </c>
    </row>
    <row r="110" spans="1:19" x14ac:dyDescent="0.3">
      <c r="A110" t="s">
        <v>97</v>
      </c>
      <c r="B110">
        <v>722989</v>
      </c>
      <c r="C110" s="1">
        <v>722989</v>
      </c>
      <c r="D110" s="1">
        <v>431626</v>
      </c>
      <c r="E110" s="1">
        <v>431626</v>
      </c>
      <c r="F110" s="1">
        <v>431626</v>
      </c>
      <c r="G110" s="1">
        <v>431626</v>
      </c>
      <c r="H110" s="1">
        <v>406370</v>
      </c>
      <c r="I110" s="1">
        <v>406370</v>
      </c>
      <c r="J110" s="1">
        <v>406370</v>
      </c>
      <c r="K110" s="1">
        <v>406370</v>
      </c>
      <c r="L110" s="1">
        <v>328972</v>
      </c>
      <c r="M110" s="1">
        <v>328972</v>
      </c>
      <c r="N110" s="1">
        <v>328972</v>
      </c>
      <c r="O110" s="1">
        <v>328972</v>
      </c>
      <c r="P110" s="1">
        <v>200822</v>
      </c>
      <c r="Q110" s="1">
        <v>200822</v>
      </c>
      <c r="R110" s="1">
        <v>200822</v>
      </c>
      <c r="S110" s="1">
        <v>200822</v>
      </c>
    </row>
    <row r="111" spans="1:19" x14ac:dyDescent="0.3">
      <c r="A111" t="s">
        <v>102</v>
      </c>
      <c r="B111">
        <v>967815</v>
      </c>
      <c r="C111" s="1">
        <v>983697</v>
      </c>
      <c r="D111" s="1">
        <v>722989</v>
      </c>
      <c r="E111" s="1">
        <v>621960</v>
      </c>
      <c r="F111" s="1">
        <v>726028</v>
      </c>
      <c r="G111" s="1">
        <v>472908</v>
      </c>
      <c r="H111" s="1">
        <v>431626</v>
      </c>
      <c r="I111" s="1">
        <v>745939</v>
      </c>
      <c r="J111" s="1">
        <v>324205</v>
      </c>
      <c r="K111" s="1">
        <v>337196</v>
      </c>
      <c r="L111" s="1">
        <v>406370</v>
      </c>
      <c r="M111" s="1">
        <v>270091</v>
      </c>
      <c r="N111" s="1">
        <v>-91663</v>
      </c>
      <c r="O111" s="1">
        <v>256688</v>
      </c>
      <c r="P111" s="1">
        <v>328972</v>
      </c>
      <c r="Q111" s="1">
        <v>106628</v>
      </c>
      <c r="R111" s="1">
        <v>193953</v>
      </c>
      <c r="S111" s="1">
        <v>-399828</v>
      </c>
    </row>
    <row r="112" spans="1:19" x14ac:dyDescent="0.3">
      <c r="A112" t="s">
        <v>98</v>
      </c>
      <c r="B112">
        <v>0</v>
      </c>
    </row>
    <row r="113" spans="1:19" x14ac:dyDescent="0.3">
      <c r="A113" t="s">
        <v>99</v>
      </c>
      <c r="B113">
        <v>1379651</v>
      </c>
      <c r="C113" s="1">
        <v>1353313</v>
      </c>
      <c r="D113" s="1">
        <v>1099679</v>
      </c>
      <c r="E113" s="1">
        <v>1040889</v>
      </c>
      <c r="F113" s="1">
        <v>1151621</v>
      </c>
      <c r="G113" s="1">
        <v>909436</v>
      </c>
      <c r="H113" s="1">
        <v>739944</v>
      </c>
      <c r="I113" s="1">
        <v>974845</v>
      </c>
      <c r="J113" s="1">
        <v>648220</v>
      </c>
      <c r="K113" s="1">
        <v>660158</v>
      </c>
      <c r="L113" s="1">
        <v>696920</v>
      </c>
      <c r="M113" s="1">
        <v>564833</v>
      </c>
      <c r="N113" s="1">
        <v>574489</v>
      </c>
      <c r="O113" s="1">
        <v>498689</v>
      </c>
      <c r="P113" s="1">
        <v>554362</v>
      </c>
      <c r="Q113" s="1">
        <v>300232</v>
      </c>
      <c r="R113" s="1">
        <v>336413</v>
      </c>
      <c r="S113" s="1">
        <v>164352</v>
      </c>
    </row>
    <row r="114" spans="1:19" x14ac:dyDescent="0.3">
      <c r="A114" t="s">
        <v>100</v>
      </c>
      <c r="B114">
        <v>-411836</v>
      </c>
      <c r="C114" s="1">
        <v>-369616</v>
      </c>
      <c r="D114" s="1">
        <v>-376690</v>
      </c>
      <c r="E114" s="1">
        <v>-418929</v>
      </c>
      <c r="F114" s="1">
        <v>-425593</v>
      </c>
      <c r="G114" s="1">
        <v>-436528</v>
      </c>
      <c r="H114" s="1">
        <v>-308318</v>
      </c>
      <c r="I114" s="1">
        <v>-228906</v>
      </c>
      <c r="J114" s="1">
        <v>-324015</v>
      </c>
      <c r="K114" s="1">
        <v>-322962</v>
      </c>
      <c r="L114" s="1">
        <v>-290550</v>
      </c>
      <c r="M114" s="1">
        <v>-294742</v>
      </c>
      <c r="N114" s="1">
        <v>-666152</v>
      </c>
      <c r="O114" s="1">
        <v>-242001</v>
      </c>
      <c r="P114" s="1">
        <v>-225390</v>
      </c>
      <c r="Q114" s="1">
        <v>-193604</v>
      </c>
      <c r="R114" s="1">
        <v>-142460</v>
      </c>
      <c r="S114" s="1">
        <v>-564180</v>
      </c>
    </row>
    <row r="115" spans="1:19" x14ac:dyDescent="0.3">
      <c r="A115" t="s">
        <v>111</v>
      </c>
      <c r="B115">
        <v>967815</v>
      </c>
      <c r="C115" s="1">
        <v>983697</v>
      </c>
      <c r="D115" s="1">
        <v>722989</v>
      </c>
      <c r="E115" s="1">
        <v>621960</v>
      </c>
      <c r="F115" s="1">
        <v>726028</v>
      </c>
      <c r="G115" s="1">
        <v>472908</v>
      </c>
      <c r="H115" s="1">
        <v>431626</v>
      </c>
      <c r="I115" s="1">
        <v>745939</v>
      </c>
      <c r="J115" s="1">
        <v>324205</v>
      </c>
      <c r="K115" s="1">
        <v>337196</v>
      </c>
      <c r="L115" s="1">
        <v>406370</v>
      </c>
      <c r="M115" s="1">
        <v>270091</v>
      </c>
      <c r="N115" s="1">
        <v>-91663</v>
      </c>
      <c r="O115" s="1">
        <v>256688</v>
      </c>
      <c r="P115" s="1">
        <v>328972</v>
      </c>
      <c r="Q115" s="1">
        <v>106628</v>
      </c>
      <c r="R115" s="1">
        <v>193953</v>
      </c>
      <c r="S115" s="1">
        <v>-399828</v>
      </c>
    </row>
    <row r="116" spans="1:19" x14ac:dyDescent="0.3">
      <c r="A116" t="s">
        <v>108</v>
      </c>
      <c r="B116">
        <v>67</v>
      </c>
      <c r="C116" s="1">
        <v>67</v>
      </c>
      <c r="D116" s="1">
        <v>66.099999999999994</v>
      </c>
      <c r="E116">
        <v>53.8</v>
      </c>
      <c r="F116" s="5">
        <v>74</v>
      </c>
      <c r="G116" s="3">
        <v>80.599999999999994</v>
      </c>
      <c r="H116" s="3">
        <v>84.4</v>
      </c>
      <c r="I116" s="3">
        <v>86.6</v>
      </c>
      <c r="J116" s="3">
        <v>69.400000000000006</v>
      </c>
      <c r="K116" s="3">
        <v>49.8</v>
      </c>
      <c r="L116" s="3">
        <v>43.4</v>
      </c>
      <c r="M116" s="3">
        <v>71</v>
      </c>
      <c r="N116" s="3">
        <v>30.8</v>
      </c>
      <c r="O116" s="3">
        <v>30.5</v>
      </c>
      <c r="P116" s="3">
        <v>34.799999999999997</v>
      </c>
      <c r="Q116" s="3">
        <v>34</v>
      </c>
      <c r="R116" s="3">
        <v>31.1</v>
      </c>
      <c r="S116" s="3">
        <v>24.7</v>
      </c>
    </row>
    <row r="117" spans="1:19" x14ac:dyDescent="0.3">
      <c r="A117" t="s">
        <v>137</v>
      </c>
      <c r="B117">
        <v>375000</v>
      </c>
      <c r="C117">
        <v>375000</v>
      </c>
      <c r="D117">
        <v>375000</v>
      </c>
      <c r="E117">
        <v>375000</v>
      </c>
      <c r="F117">
        <v>375000</v>
      </c>
      <c r="G117">
        <v>375000</v>
      </c>
      <c r="H117">
        <v>375000</v>
      </c>
      <c r="I117">
        <v>375000</v>
      </c>
      <c r="J117">
        <v>375000</v>
      </c>
      <c r="K117">
        <v>375000</v>
      </c>
      <c r="L117">
        <v>375000</v>
      </c>
      <c r="M117">
        <v>375000</v>
      </c>
      <c r="N117">
        <v>375000</v>
      </c>
      <c r="O117">
        <v>375000</v>
      </c>
      <c r="P117">
        <v>375000</v>
      </c>
      <c r="Q117">
        <v>375000</v>
      </c>
      <c r="R117">
        <v>375000</v>
      </c>
      <c r="S117">
        <v>375000</v>
      </c>
    </row>
    <row r="118" spans="1:19" x14ac:dyDescent="0.3">
      <c r="A118" t="s">
        <v>140</v>
      </c>
      <c r="B118" s="1">
        <v>22780</v>
      </c>
      <c r="C118" s="1">
        <v>480141</v>
      </c>
      <c r="D118" s="1">
        <v>553716</v>
      </c>
      <c r="E118" s="1">
        <v>1164232</v>
      </c>
      <c r="F118" s="5">
        <v>442247</v>
      </c>
      <c r="G118" s="3">
        <v>0</v>
      </c>
      <c r="H118" s="3">
        <v>1099884</v>
      </c>
      <c r="I118" s="3">
        <v>693044</v>
      </c>
      <c r="J118" s="3">
        <v>2844588</v>
      </c>
      <c r="K118" s="1">
        <v>0</v>
      </c>
      <c r="L118" s="3">
        <v>0</v>
      </c>
      <c r="M118" s="3">
        <v>395441</v>
      </c>
      <c r="N118" s="3">
        <v>391386</v>
      </c>
      <c r="O118" s="3">
        <v>483393</v>
      </c>
      <c r="P118" s="3">
        <v>956035</v>
      </c>
      <c r="Q118" s="3">
        <v>0</v>
      </c>
      <c r="R118" s="3">
        <v>0</v>
      </c>
      <c r="S118" s="3">
        <v>0</v>
      </c>
    </row>
    <row r="119" spans="1:19" x14ac:dyDescent="0.3">
      <c r="A119" t="s">
        <v>135</v>
      </c>
      <c r="B119">
        <f>B40+B41+B42</f>
        <v>5014072</v>
      </c>
      <c r="C119">
        <f t="shared" ref="C119:S119" si="0">C40+C41+C42</f>
        <v>5163852</v>
      </c>
      <c r="D119">
        <f t="shared" si="0"/>
        <v>4882305</v>
      </c>
      <c r="E119">
        <f t="shared" si="0"/>
        <v>3583667</v>
      </c>
      <c r="F119">
        <f t="shared" si="0"/>
        <v>3766733</v>
      </c>
      <c r="G119">
        <f t="shared" si="0"/>
        <v>3781727</v>
      </c>
      <c r="H119">
        <f t="shared" si="0"/>
        <v>3676211</v>
      </c>
      <c r="I119">
        <f t="shared" si="0"/>
        <v>2975016</v>
      </c>
      <c r="J119">
        <f t="shared" si="0"/>
        <v>2958685</v>
      </c>
      <c r="K119">
        <f t="shared" si="0"/>
        <v>3113562</v>
      </c>
      <c r="L119">
        <f t="shared" si="0"/>
        <v>2673902</v>
      </c>
      <c r="M119">
        <f t="shared" si="0"/>
        <v>2384303</v>
      </c>
      <c r="N119">
        <f t="shared" si="0"/>
        <v>2855214</v>
      </c>
      <c r="O119">
        <f t="shared" si="0"/>
        <v>2291003</v>
      </c>
      <c r="P119">
        <f t="shared" si="0"/>
        <v>2245031</v>
      </c>
      <c r="Q119">
        <f t="shared" si="0"/>
        <v>2201894</v>
      </c>
      <c r="R119">
        <f t="shared" si="0"/>
        <v>2239045</v>
      </c>
      <c r="S119">
        <f t="shared" si="0"/>
        <v>2345947</v>
      </c>
    </row>
    <row r="120" spans="1:19" x14ac:dyDescent="0.3">
      <c r="A120" t="s">
        <v>136</v>
      </c>
      <c r="B120">
        <f>B55+B56+B57</f>
        <v>5578848</v>
      </c>
      <c r="C120">
        <f t="shared" ref="C120:S120" si="1">C55+C56+C57</f>
        <v>5371916</v>
      </c>
      <c r="D120">
        <f t="shared" si="1"/>
        <v>4789303</v>
      </c>
      <c r="E120">
        <f t="shared" si="1"/>
        <v>4757131</v>
      </c>
      <c r="F120">
        <f t="shared" si="1"/>
        <v>5498416</v>
      </c>
      <c r="G120">
        <f t="shared" si="1"/>
        <v>6392906</v>
      </c>
      <c r="H120">
        <f t="shared" si="1"/>
        <v>6184040</v>
      </c>
      <c r="I120">
        <f t="shared" si="1"/>
        <v>5936038</v>
      </c>
      <c r="J120">
        <f t="shared" si="1"/>
        <v>5292349</v>
      </c>
      <c r="K120">
        <f t="shared" si="1"/>
        <v>4537133</v>
      </c>
      <c r="L120">
        <f t="shared" si="1"/>
        <v>3918988</v>
      </c>
      <c r="M120">
        <f t="shared" si="1"/>
        <v>3550070</v>
      </c>
      <c r="N120">
        <f t="shared" si="1"/>
        <v>3692064</v>
      </c>
      <c r="O120">
        <f t="shared" si="1"/>
        <v>3220801</v>
      </c>
      <c r="P120">
        <f t="shared" si="1"/>
        <v>2751673</v>
      </c>
      <c r="Q120">
        <f t="shared" si="1"/>
        <v>2697385</v>
      </c>
      <c r="R120">
        <f t="shared" si="1"/>
        <v>2025375</v>
      </c>
      <c r="S120">
        <f t="shared" si="1"/>
        <v>2350025</v>
      </c>
    </row>
    <row r="121" spans="1:19" x14ac:dyDescent="0.3">
      <c r="A121" s="8" t="s">
        <v>148</v>
      </c>
      <c r="B121">
        <f>155338/4</f>
        <v>38834.5</v>
      </c>
      <c r="C121">
        <f>155338/4</f>
        <v>38834.5</v>
      </c>
      <c r="D121">
        <f t="shared" ref="D121:G121" si="2">155338/4</f>
        <v>38834.5</v>
      </c>
      <c r="E121">
        <f t="shared" si="2"/>
        <v>38834.5</v>
      </c>
      <c r="F121">
        <f t="shared" si="2"/>
        <v>38834.5</v>
      </c>
      <c r="G121">
        <f t="shared" si="2"/>
        <v>38834.5</v>
      </c>
      <c r="H121">
        <f>153807/4</f>
        <v>38451.75</v>
      </c>
      <c r="I121">
        <f t="shared" ref="I121:K121" si="3">153807/4</f>
        <v>38451.75</v>
      </c>
      <c r="J121">
        <f t="shared" si="3"/>
        <v>38451.75</v>
      </c>
      <c r="K121">
        <f t="shared" si="3"/>
        <v>38451.75</v>
      </c>
      <c r="L121">
        <f>53744/4</f>
        <v>13436</v>
      </c>
      <c r="M121">
        <f t="shared" ref="M121:O121" si="4">53744/4</f>
        <v>13436</v>
      </c>
      <c r="N121">
        <f t="shared" si="4"/>
        <v>13436</v>
      </c>
      <c r="O121">
        <f t="shared" si="4"/>
        <v>13436</v>
      </c>
      <c r="P121">
        <f>52495/4</f>
        <v>13123.75</v>
      </c>
      <c r="Q121">
        <f t="shared" ref="Q121:S121" si="5">52495/4</f>
        <v>13123.75</v>
      </c>
      <c r="R121">
        <f t="shared" si="5"/>
        <v>13123.75</v>
      </c>
      <c r="S121">
        <f t="shared" si="5"/>
        <v>13123.75</v>
      </c>
    </row>
    <row r="122" spans="1:19" x14ac:dyDescent="0.3">
      <c r="A122" t="s">
        <v>147</v>
      </c>
      <c r="B122">
        <f>B121+B57+B54-B42</f>
        <v>3800856.5</v>
      </c>
      <c r="C122">
        <f t="shared" ref="C122:S122" si="6">C121+C57+C54-C42</f>
        <v>3857814.5</v>
      </c>
      <c r="D122">
        <f t="shared" si="6"/>
        <v>4330842.5</v>
      </c>
      <c r="E122">
        <f t="shared" si="6"/>
        <v>4574978.5</v>
      </c>
      <c r="F122">
        <f t="shared" si="6"/>
        <v>4085752.5</v>
      </c>
      <c r="G122">
        <f t="shared" si="6"/>
        <v>4756730.5</v>
      </c>
      <c r="H122">
        <f t="shared" si="6"/>
        <v>5250743.75</v>
      </c>
      <c r="I122">
        <f t="shared" si="6"/>
        <v>5002114.75</v>
      </c>
      <c r="J122">
        <f t="shared" si="6"/>
        <v>5248230.75</v>
      </c>
      <c r="K122">
        <f t="shared" si="6"/>
        <v>4274371.75</v>
      </c>
      <c r="L122">
        <f t="shared" si="6"/>
        <v>2672060</v>
      </c>
      <c r="M122">
        <f t="shared" si="6"/>
        <v>2868652</v>
      </c>
      <c r="N122">
        <f t="shared" si="6"/>
        <v>3160647</v>
      </c>
      <c r="O122">
        <f t="shared" si="6"/>
        <v>2869136</v>
      </c>
      <c r="P122">
        <f t="shared" si="6"/>
        <v>-133516.25</v>
      </c>
      <c r="Q122">
        <f t="shared" si="6"/>
        <v>-93504.25</v>
      </c>
      <c r="R122">
        <f t="shared" si="6"/>
        <v>-180829.25</v>
      </c>
      <c r="S122">
        <f t="shared" si="6"/>
        <v>412951.75</v>
      </c>
    </row>
    <row r="123" spans="1:19" x14ac:dyDescent="0.3">
      <c r="A123" t="s">
        <v>151</v>
      </c>
      <c r="B123">
        <f>B3+B4+B14+B15+B16+B17+B19</f>
        <v>313625</v>
      </c>
      <c r="C123">
        <f t="shared" ref="C123:S123" si="7">C3+C4+C14+C15+C16+C17+C19</f>
        <v>1171949</v>
      </c>
      <c r="D123">
        <f t="shared" si="7"/>
        <v>161906</v>
      </c>
      <c r="E123">
        <f t="shared" si="7"/>
        <v>286595</v>
      </c>
      <c r="F123">
        <f t="shared" si="7"/>
        <v>420824</v>
      </c>
      <c r="G123">
        <f t="shared" si="7"/>
        <v>741703</v>
      </c>
      <c r="H123">
        <f t="shared" si="7"/>
        <v>1034728</v>
      </c>
      <c r="I123">
        <f t="shared" si="7"/>
        <v>797564</v>
      </c>
      <c r="J123">
        <f t="shared" si="7"/>
        <v>-466303</v>
      </c>
      <c r="K123">
        <f t="shared" si="7"/>
        <v>514020</v>
      </c>
      <c r="L123">
        <f t="shared" si="7"/>
        <v>1296290</v>
      </c>
      <c r="M123">
        <f t="shared" si="7"/>
        <v>933419</v>
      </c>
      <c r="N123">
        <f t="shared" si="7"/>
        <v>926939</v>
      </c>
      <c r="O123">
        <f t="shared" si="7"/>
        <v>943332</v>
      </c>
      <c r="P123">
        <f t="shared" si="7"/>
        <v>1812207</v>
      </c>
      <c r="Q123">
        <f t="shared" si="7"/>
        <v>283089</v>
      </c>
      <c r="R123">
        <f t="shared" si="7"/>
        <v>373108</v>
      </c>
      <c r="S123">
        <f t="shared" si="7"/>
        <v>882876</v>
      </c>
    </row>
    <row r="124" spans="1:19" x14ac:dyDescent="0.3">
      <c r="A124" t="s">
        <v>152</v>
      </c>
      <c r="B124">
        <f>B22-B20</f>
        <v>1882266</v>
      </c>
      <c r="C124">
        <f t="shared" ref="C124:S124" si="8">C22-C20</f>
        <v>1597522</v>
      </c>
      <c r="D124">
        <f t="shared" si="8"/>
        <v>921867</v>
      </c>
      <c r="E124">
        <f t="shared" si="8"/>
        <v>1007383</v>
      </c>
      <c r="F124">
        <f t="shared" si="8"/>
        <v>1095935</v>
      </c>
      <c r="G124">
        <f t="shared" si="8"/>
        <v>1422896</v>
      </c>
      <c r="H124">
        <f t="shared" si="8"/>
        <v>1504776</v>
      </c>
      <c r="I124">
        <f t="shared" si="8"/>
        <v>1285665</v>
      </c>
      <c r="J124">
        <f t="shared" si="8"/>
        <v>-194282</v>
      </c>
      <c r="K124">
        <f t="shared" si="8"/>
        <v>-633562</v>
      </c>
      <c r="L124">
        <f t="shared" si="8"/>
        <v>986876</v>
      </c>
      <c r="M124">
        <f t="shared" si="8"/>
        <v>717909</v>
      </c>
      <c r="N124">
        <f t="shared" si="8"/>
        <v>721681</v>
      </c>
      <c r="O124">
        <f t="shared" si="8"/>
        <v>722777</v>
      </c>
      <c r="P124">
        <f t="shared" si="8"/>
        <v>1381149</v>
      </c>
      <c r="Q124">
        <f t="shared" si="8"/>
        <v>73416</v>
      </c>
      <c r="R124">
        <f t="shared" si="8"/>
        <v>179899</v>
      </c>
      <c r="S124">
        <f t="shared" si="8"/>
        <v>668060</v>
      </c>
    </row>
    <row r="125" spans="1:19" x14ac:dyDescent="0.3">
      <c r="A125" t="s">
        <v>195</v>
      </c>
      <c r="B125">
        <f>B66-C66</f>
        <v>197</v>
      </c>
      <c r="C125">
        <f>C66</f>
        <v>197</v>
      </c>
      <c r="D125">
        <f>D66-E66</f>
        <v>199</v>
      </c>
      <c r="E125">
        <f t="shared" ref="E125:F126" si="9">E66-F66</f>
        <v>182</v>
      </c>
      <c r="F125">
        <f t="shared" si="9"/>
        <v>171</v>
      </c>
      <c r="G125">
        <f>G66</f>
        <v>170</v>
      </c>
      <c r="H125">
        <f>H66-I66</f>
        <v>173</v>
      </c>
      <c r="I125">
        <f t="shared" ref="I125:J126" si="10">I66-J66</f>
        <v>174</v>
      </c>
      <c r="J125">
        <f t="shared" si="10"/>
        <v>152</v>
      </c>
      <c r="K125">
        <f>K66</f>
        <v>91</v>
      </c>
      <c r="L125">
        <f>L66-M66</f>
        <v>92</v>
      </c>
      <c r="M125">
        <f t="shared" ref="M125:N126" si="11">M66-N66</f>
        <v>83</v>
      </c>
      <c r="N125">
        <f t="shared" si="11"/>
        <v>42</v>
      </c>
      <c r="O125">
        <f>O66</f>
        <v>31</v>
      </c>
      <c r="P125">
        <f>P66-Q66</f>
        <v>32</v>
      </c>
      <c r="Q125">
        <f t="shared" ref="Q125:R126" si="12">Q66-R66</f>
        <v>32</v>
      </c>
      <c r="R125">
        <f t="shared" si="12"/>
        <v>26</v>
      </c>
      <c r="S125">
        <f>S66</f>
        <v>57</v>
      </c>
    </row>
    <row r="126" spans="1:19" x14ac:dyDescent="0.3">
      <c r="A126" t="s">
        <v>196</v>
      </c>
      <c r="B126" s="1">
        <f>B67-C67</f>
        <v>89802</v>
      </c>
      <c r="C126">
        <f>C67</f>
        <v>90177</v>
      </c>
      <c r="D126">
        <f>D67-E67</f>
        <v>44999</v>
      </c>
      <c r="E126">
        <f t="shared" si="9"/>
        <v>77419</v>
      </c>
      <c r="F126">
        <f t="shared" si="9"/>
        <v>74631</v>
      </c>
      <c r="G126">
        <f>G67</f>
        <v>73597</v>
      </c>
      <c r="H126">
        <f>H67-I67</f>
        <v>70658</v>
      </c>
      <c r="I126">
        <f t="shared" si="10"/>
        <v>70078</v>
      </c>
      <c r="J126">
        <f t="shared" si="10"/>
        <v>85930</v>
      </c>
      <c r="K126">
        <f>K67</f>
        <v>62191</v>
      </c>
      <c r="L126">
        <f>L67-M67</f>
        <v>64830</v>
      </c>
      <c r="M126">
        <f t="shared" si="11"/>
        <v>61973</v>
      </c>
      <c r="N126">
        <f t="shared" si="11"/>
        <v>59394</v>
      </c>
      <c r="O126">
        <f>O67</f>
        <v>59630</v>
      </c>
      <c r="P126">
        <f>P67-Q67</f>
        <v>60676</v>
      </c>
      <c r="Q126">
        <f t="shared" si="12"/>
        <v>61622</v>
      </c>
      <c r="R126">
        <f t="shared" si="12"/>
        <v>36548</v>
      </c>
      <c r="S126">
        <f>S67</f>
        <v>36162</v>
      </c>
    </row>
    <row r="127" spans="1:19" x14ac:dyDescent="0.3">
      <c r="A127" t="s">
        <v>153</v>
      </c>
      <c r="B127">
        <f>B22-B20+B125</f>
        <v>1882463</v>
      </c>
      <c r="C127">
        <f t="shared" ref="C127:S127" si="13">C22-C20+C125</f>
        <v>1597719</v>
      </c>
      <c r="D127">
        <f t="shared" si="13"/>
        <v>922066</v>
      </c>
      <c r="E127">
        <f t="shared" si="13"/>
        <v>1007565</v>
      </c>
      <c r="F127">
        <f t="shared" si="13"/>
        <v>1096106</v>
      </c>
      <c r="G127">
        <f t="shared" si="13"/>
        <v>1423066</v>
      </c>
      <c r="H127">
        <f t="shared" si="13"/>
        <v>1504949</v>
      </c>
      <c r="I127">
        <f t="shared" si="13"/>
        <v>1285839</v>
      </c>
      <c r="J127">
        <f t="shared" si="13"/>
        <v>-194130</v>
      </c>
      <c r="K127">
        <f t="shared" si="13"/>
        <v>-633471</v>
      </c>
      <c r="L127">
        <f t="shared" si="13"/>
        <v>986968</v>
      </c>
      <c r="M127">
        <f t="shared" si="13"/>
        <v>717992</v>
      </c>
      <c r="N127">
        <f t="shared" si="13"/>
        <v>721723</v>
      </c>
      <c r="O127">
        <f t="shared" si="13"/>
        <v>722808</v>
      </c>
      <c r="P127">
        <f t="shared" si="13"/>
        <v>1381181</v>
      </c>
      <c r="Q127">
        <f t="shared" si="13"/>
        <v>73448</v>
      </c>
      <c r="R127">
        <f t="shared" si="13"/>
        <v>179925</v>
      </c>
      <c r="S127">
        <f t="shared" si="13"/>
        <v>668117</v>
      </c>
    </row>
    <row r="128" spans="1:19" x14ac:dyDescent="0.3">
      <c r="A128" t="s">
        <v>155</v>
      </c>
      <c r="B128" s="1">
        <f>B22-B20+B125+B126</f>
        <v>1972265</v>
      </c>
      <c r="C128" s="1">
        <f t="shared" ref="C128:S128" si="14">C22-C20+C125+C126</f>
        <v>1687896</v>
      </c>
      <c r="D128" s="1">
        <f t="shared" si="14"/>
        <v>967065</v>
      </c>
      <c r="E128" s="1">
        <f t="shared" si="14"/>
        <v>1084984</v>
      </c>
      <c r="F128" s="1">
        <f t="shared" si="14"/>
        <v>1170737</v>
      </c>
      <c r="G128" s="1">
        <f t="shared" si="14"/>
        <v>1496663</v>
      </c>
      <c r="H128" s="1">
        <f t="shared" si="14"/>
        <v>1575607</v>
      </c>
      <c r="I128" s="1">
        <f t="shared" si="14"/>
        <v>1355917</v>
      </c>
      <c r="J128" s="1">
        <f t="shared" si="14"/>
        <v>-108200</v>
      </c>
      <c r="K128" s="1">
        <f t="shared" si="14"/>
        <v>-571280</v>
      </c>
      <c r="L128" s="1">
        <f t="shared" si="14"/>
        <v>1051798</v>
      </c>
      <c r="M128" s="1">
        <f t="shared" si="14"/>
        <v>779965</v>
      </c>
      <c r="N128" s="1">
        <f t="shared" si="14"/>
        <v>781117</v>
      </c>
      <c r="O128" s="1">
        <f t="shared" si="14"/>
        <v>782438</v>
      </c>
      <c r="P128" s="1">
        <f t="shared" si="14"/>
        <v>1441857</v>
      </c>
      <c r="Q128" s="1">
        <f t="shared" si="14"/>
        <v>135070</v>
      </c>
      <c r="R128" s="1">
        <f t="shared" si="14"/>
        <v>216473</v>
      </c>
      <c r="S128" s="1">
        <f t="shared" si="14"/>
        <v>704279</v>
      </c>
    </row>
    <row r="129" spans="1:19" x14ac:dyDescent="0.3">
      <c r="A129" t="s">
        <v>188</v>
      </c>
      <c r="B129" s="1">
        <v>0</v>
      </c>
      <c r="C129" s="1">
        <v>727955</v>
      </c>
      <c r="D129" s="1">
        <v>0</v>
      </c>
      <c r="E129" s="1">
        <v>0</v>
      </c>
      <c r="F129" s="1">
        <v>0</v>
      </c>
      <c r="G129" s="1">
        <v>679425</v>
      </c>
      <c r="H129" s="1">
        <v>0</v>
      </c>
      <c r="I129" s="1">
        <v>0</v>
      </c>
      <c r="J129" s="1">
        <v>0</v>
      </c>
      <c r="K129" s="1">
        <v>543540</v>
      </c>
      <c r="L129" s="1">
        <v>0</v>
      </c>
      <c r="M129" s="1">
        <v>0</v>
      </c>
      <c r="N129" s="1">
        <v>0</v>
      </c>
      <c r="O129" s="1">
        <v>484991</v>
      </c>
      <c r="P129">
        <v>0</v>
      </c>
      <c r="Q129">
        <v>0</v>
      </c>
      <c r="R129">
        <v>0</v>
      </c>
      <c r="S129">
        <v>0</v>
      </c>
    </row>
    <row r="130" spans="1:19" x14ac:dyDescent="0.3">
      <c r="A130" t="s">
        <v>197</v>
      </c>
      <c r="B130" s="1">
        <f>B92-C92</f>
        <v>1197577</v>
      </c>
      <c r="C130" s="1">
        <f>C92</f>
        <v>1850987</v>
      </c>
      <c r="D130" s="1">
        <f>D92-E92</f>
        <v>356356</v>
      </c>
      <c r="E130" s="1">
        <f t="shared" ref="E130:F130" si="15">E92-F92</f>
        <v>330099</v>
      </c>
      <c r="F130" s="1">
        <f t="shared" si="15"/>
        <v>135916</v>
      </c>
      <c r="G130" s="1">
        <f>G92</f>
        <v>862814</v>
      </c>
      <c r="H130" s="1">
        <f>H92-I92</f>
        <v>-260973</v>
      </c>
      <c r="I130" s="1">
        <f t="shared" ref="I130:J130" si="16">I92-J92</f>
        <v>1914012</v>
      </c>
      <c r="J130" s="1">
        <f t="shared" si="16"/>
        <v>2059973</v>
      </c>
      <c r="K130" s="1">
        <f>K92</f>
        <v>1371866</v>
      </c>
      <c r="L130" s="1">
        <f>L92-M92</f>
        <v>1964987</v>
      </c>
      <c r="M130" s="1">
        <f t="shared" ref="M130:N130" si="17">M92-N92</f>
        <v>2118477</v>
      </c>
      <c r="N130" s="1">
        <f t="shared" si="17"/>
        <v>990053</v>
      </c>
      <c r="O130" s="1">
        <f>O92</f>
        <v>1910295</v>
      </c>
      <c r="P130" s="1">
        <f>P92-Q92</f>
        <v>2382953</v>
      </c>
      <c r="Q130" s="1">
        <f t="shared" ref="Q130:R130" si="18">Q92-R92</f>
        <v>2027221</v>
      </c>
      <c r="R130" s="1">
        <f t="shared" si="18"/>
        <v>1426818</v>
      </c>
      <c r="S130" s="1">
        <f>S92</f>
        <v>3221758</v>
      </c>
    </row>
    <row r="131" spans="1:19" x14ac:dyDescent="0.3">
      <c r="A131" t="s">
        <v>198</v>
      </c>
      <c r="B131" s="1">
        <f>B65-C65</f>
        <v>35121</v>
      </c>
      <c r="C131" s="1">
        <f>C65</f>
        <v>35286</v>
      </c>
      <c r="D131" s="1">
        <f>D65-E65</f>
        <v>45893</v>
      </c>
      <c r="E131" s="1">
        <f t="shared" ref="E131:F131" si="19">E65-F65</f>
        <v>23138</v>
      </c>
      <c r="F131" s="1">
        <f t="shared" si="19"/>
        <v>32884</v>
      </c>
      <c r="G131" s="1">
        <f>G65</f>
        <v>31478</v>
      </c>
      <c r="H131" s="1">
        <f>H65-I65</f>
        <v>32536</v>
      </c>
      <c r="I131" s="1">
        <f t="shared" ref="I131:J131" si="20">I65-J65</f>
        <v>32623</v>
      </c>
      <c r="J131" s="1">
        <f t="shared" si="20"/>
        <v>34069</v>
      </c>
      <c r="K131" s="1">
        <f>K65</f>
        <v>33638</v>
      </c>
      <c r="L131" s="1">
        <f>L65-M65</f>
        <v>34852</v>
      </c>
      <c r="M131" s="1">
        <f t="shared" ref="M131:N131" si="21">M65-N65</f>
        <v>34698</v>
      </c>
      <c r="N131" s="1">
        <f t="shared" si="21"/>
        <v>34427</v>
      </c>
      <c r="O131" s="1">
        <f>O65</f>
        <v>33951</v>
      </c>
      <c r="P131" s="1">
        <f>P65-Q65</f>
        <v>41302</v>
      </c>
      <c r="Q131" s="1">
        <f t="shared" ref="Q131:R131" si="22">Q65-R65</f>
        <v>32762</v>
      </c>
      <c r="R131" s="1">
        <f t="shared" si="22"/>
        <v>38697</v>
      </c>
      <c r="S131" s="1">
        <f>S65</f>
        <v>34277</v>
      </c>
    </row>
    <row r="132" spans="1:19" x14ac:dyDescent="0.3">
      <c r="A132" t="s">
        <v>199</v>
      </c>
      <c r="B132" s="1">
        <f>-B97+C97</f>
        <v>21991</v>
      </c>
      <c r="C132" s="1">
        <f t="shared" ref="C132:S132" si="23">-C97+D97</f>
        <v>-172589</v>
      </c>
      <c r="D132" s="1">
        <f t="shared" si="23"/>
        <v>58503</v>
      </c>
      <c r="E132" s="1">
        <f t="shared" si="23"/>
        <v>30363</v>
      </c>
      <c r="F132" s="1">
        <f t="shared" si="23"/>
        <v>68280</v>
      </c>
      <c r="G132" s="1">
        <f t="shared" si="23"/>
        <v>-33955</v>
      </c>
      <c r="H132" s="1">
        <f t="shared" si="23"/>
        <v>36492</v>
      </c>
      <c r="I132" s="1">
        <f t="shared" si="23"/>
        <v>20795</v>
      </c>
      <c r="J132" s="1">
        <f t="shared" si="23"/>
        <v>17913</v>
      </c>
      <c r="K132" s="1">
        <f t="shared" si="23"/>
        <v>-38753</v>
      </c>
      <c r="L132" s="1">
        <f t="shared" si="23"/>
        <v>12086</v>
      </c>
      <c r="M132" s="1">
        <f t="shared" si="23"/>
        <v>22189</v>
      </c>
      <c r="N132" s="1">
        <f t="shared" si="23"/>
        <v>7598</v>
      </c>
      <c r="O132" s="1">
        <f t="shared" si="23"/>
        <v>-116331</v>
      </c>
      <c r="P132" s="1">
        <f t="shared" si="23"/>
        <v>36360</v>
      </c>
      <c r="Q132" s="1">
        <f t="shared" si="23"/>
        <v>16426</v>
      </c>
      <c r="R132" s="1">
        <f t="shared" si="23"/>
        <v>12498</v>
      </c>
      <c r="S132" s="1">
        <f t="shared" si="23"/>
        <v>67215</v>
      </c>
    </row>
    <row r="133" spans="1:19" x14ac:dyDescent="0.3">
      <c r="A133" t="s">
        <v>112</v>
      </c>
    </row>
    <row r="134" spans="1:19" x14ac:dyDescent="0.3">
      <c r="A134" t="s">
        <v>113</v>
      </c>
      <c r="B134">
        <f>((B43-B33)-(C120-B57-B121))/(B54+B57+B121)</f>
        <v>9.6806489518642724</v>
      </c>
      <c r="C134">
        <f t="shared" ref="C134:S134" si="24">((C43-C33)-(D120-C57-C121))/(C54+C57+C121)</f>
        <v>9.094074458934271</v>
      </c>
      <c r="D134">
        <f t="shared" si="24"/>
        <v>8.6539481521249844</v>
      </c>
      <c r="E134">
        <f t="shared" si="24"/>
        <v>7.9191178388735137</v>
      </c>
      <c r="F134">
        <f t="shared" si="24"/>
        <v>7.9969806430646964</v>
      </c>
      <c r="G134">
        <f t="shared" si="24"/>
        <v>7.3519908919019592</v>
      </c>
      <c r="H134">
        <f t="shared" si="24"/>
        <v>7.1204693901797835</v>
      </c>
      <c r="I134">
        <f t="shared" si="24"/>
        <v>7.0550536583419357</v>
      </c>
      <c r="J134">
        <f t="shared" si="24"/>
        <v>7.0324277278157545</v>
      </c>
      <c r="K134">
        <f t="shared" si="24"/>
        <v>7.799097928227102</v>
      </c>
      <c r="L134">
        <f t="shared" si="24"/>
        <v>10.714308781886507</v>
      </c>
      <c r="M134">
        <f t="shared" si="24"/>
        <v>9.9116212827491594</v>
      </c>
      <c r="N134">
        <f t="shared" si="24"/>
        <v>9.0417288687747916</v>
      </c>
      <c r="O134">
        <f t="shared" si="24"/>
        <v>9.4641068923282479</v>
      </c>
      <c r="P134">
        <f t="shared" si="24"/>
        <v>73.059848531201752</v>
      </c>
      <c r="Q134">
        <f t="shared" si="24"/>
        <v>128.89052751747164</v>
      </c>
      <c r="R134">
        <f t="shared" si="24"/>
        <v>153.36544947656807</v>
      </c>
      <c r="S134">
        <f t="shared" si="24"/>
        <v>43.97431291586102</v>
      </c>
    </row>
    <row r="135" spans="1:19" x14ac:dyDescent="0.3">
      <c r="A135" t="s">
        <v>114</v>
      </c>
      <c r="B135">
        <f>(B22-B20)/-B20</f>
        <v>11.868306892985952</v>
      </c>
      <c r="C135">
        <f t="shared" ref="C135:S135" si="25">(C22-C20)/-C20</f>
        <v>3.9803712470412358</v>
      </c>
      <c r="D135">
        <f t="shared" si="25"/>
        <v>4.5168745774006096</v>
      </c>
      <c r="E135">
        <f t="shared" si="25"/>
        <v>17.402276810392483</v>
      </c>
      <c r="F135">
        <f t="shared" si="25"/>
        <v>2.8334035693695045</v>
      </c>
      <c r="G135">
        <f t="shared" si="25"/>
        <v>2.3630807658070601</v>
      </c>
      <c r="H135">
        <f t="shared" si="25"/>
        <v>6.5789747513389445</v>
      </c>
      <c r="I135">
        <f t="shared" si="25"/>
        <v>6.8814329527755032</v>
      </c>
      <c r="J135">
        <f t="shared" si="25"/>
        <v>0.17194177687270615</v>
      </c>
      <c r="K135">
        <f t="shared" si="25"/>
        <v>0.46812135828357027</v>
      </c>
      <c r="L135">
        <f t="shared" si="25"/>
        <v>10.461398208512216</v>
      </c>
      <c r="M135">
        <f t="shared" si="25"/>
        <v>7.2595989523819151</v>
      </c>
      <c r="N135">
        <f t="shared" si="25"/>
        <v>8.4605041031652988</v>
      </c>
      <c r="O135">
        <f t="shared" si="25"/>
        <v>-7.6116242088524277</v>
      </c>
      <c r="P135">
        <f t="shared" si="25"/>
        <v>36.466943021597928</v>
      </c>
      <c r="Q135">
        <f t="shared" si="25"/>
        <v>1.553383267741526</v>
      </c>
      <c r="R135">
        <f t="shared" si="25"/>
        <v>2.086583852372502</v>
      </c>
      <c r="S135">
        <f t="shared" si="25"/>
        <v>810.752427184466</v>
      </c>
    </row>
    <row r="136" spans="1:19" x14ac:dyDescent="0.3">
      <c r="A136" s="6" t="s">
        <v>115</v>
      </c>
      <c r="B136">
        <f>(B54+B57)/(B54+B57+B50)</f>
        <v>0.26287449919913275</v>
      </c>
      <c r="C136">
        <f t="shared" ref="C136:S136" si="26">(C54+C57)/(C54+C57+C50)</f>
        <v>0.28832715228458172</v>
      </c>
      <c r="D136">
        <f t="shared" si="26"/>
        <v>0.2879400532965683</v>
      </c>
      <c r="E136">
        <f t="shared" si="26"/>
        <v>0.30783421009723355</v>
      </c>
      <c r="F136">
        <f t="shared" si="26"/>
        <v>0.31852026587986387</v>
      </c>
      <c r="G136">
        <f t="shared" si="26"/>
        <v>0.35395199594630311</v>
      </c>
      <c r="H136">
        <f t="shared" si="26"/>
        <v>0.35376994929022965</v>
      </c>
      <c r="I136">
        <f t="shared" si="26"/>
        <v>0.36435363010704869</v>
      </c>
      <c r="J136">
        <f t="shared" si="26"/>
        <v>0.38190770297146148</v>
      </c>
      <c r="K136">
        <f t="shared" si="26"/>
        <v>0.33879746254707693</v>
      </c>
      <c r="L136">
        <f t="shared" si="26"/>
        <v>0.2406447401580066</v>
      </c>
      <c r="M136">
        <f t="shared" si="26"/>
        <v>0.25376804908664474</v>
      </c>
      <c r="N136">
        <f t="shared" si="26"/>
        <v>0.27541644925242681</v>
      </c>
      <c r="O136">
        <f t="shared" si="26"/>
        <v>0.26623007156873835</v>
      </c>
      <c r="P136">
        <f t="shared" si="26"/>
        <v>3.9416398096320665E-2</v>
      </c>
      <c r="Q136">
        <f t="shared" si="26"/>
        <v>2.1383260742933674E-2</v>
      </c>
      <c r="R136">
        <f t="shared" si="26"/>
        <v>1.5761246871067225E-2</v>
      </c>
      <c r="S136">
        <f t="shared" si="26"/>
        <v>6.1656516440699506E-2</v>
      </c>
    </row>
    <row r="137" spans="1:19" x14ac:dyDescent="0.3">
      <c r="A137" s="6" t="s">
        <v>116</v>
      </c>
      <c r="B137">
        <f>(-B20/B3)</f>
        <v>2.1508421179683931E-2</v>
      </c>
      <c r="C137">
        <f t="shared" ref="C137:S137" si="27">(-C20/C3)</f>
        <v>5.6032345888013209E-2</v>
      </c>
      <c r="D137">
        <f t="shared" si="27"/>
        <v>2.6191971879698187E-2</v>
      </c>
      <c r="E137">
        <f t="shared" si="27"/>
        <v>9.5259189974352034E-3</v>
      </c>
      <c r="F137">
        <f t="shared" si="27"/>
        <v>5.9620283329330809E-2</v>
      </c>
      <c r="G137">
        <f t="shared" si="27"/>
        <v>0.10061394060573289</v>
      </c>
      <c r="H137">
        <f t="shared" si="27"/>
        <v>3.5693970531894388E-2</v>
      </c>
      <c r="I137">
        <f t="shared" si="27"/>
        <v>3.544037700179771E-2</v>
      </c>
      <c r="J137">
        <f t="shared" si="27"/>
        <v>-0.20176637021812671</v>
      </c>
      <c r="K137">
        <f t="shared" si="27"/>
        <v>-0.23320265573275603</v>
      </c>
      <c r="L137">
        <f t="shared" si="27"/>
        <v>1.6490581829890823E-2</v>
      </c>
      <c r="M137">
        <f t="shared" si="27"/>
        <v>1.9204787301703205E-2</v>
      </c>
      <c r="N137">
        <f t="shared" si="27"/>
        <v>1.9288902074789383E-2</v>
      </c>
      <c r="O137">
        <f t="shared" si="27"/>
        <v>-1.9943741581767618E-2</v>
      </c>
      <c r="P137">
        <f t="shared" si="27"/>
        <v>7.9430193120607895E-3</v>
      </c>
      <c r="Q137">
        <f t="shared" si="27"/>
        <v>1.0599475206889591E-2</v>
      </c>
      <c r="R137">
        <f t="shared" si="27"/>
        <v>2.9211693893350908E-2</v>
      </c>
      <c r="S137">
        <f t="shared" si="27"/>
        <v>2.3667626105506486E-4</v>
      </c>
    </row>
    <row r="138" spans="1:19" x14ac:dyDescent="0.3">
      <c r="A138" s="6" t="s">
        <v>117</v>
      </c>
      <c r="B138">
        <f>B130/(B54+B57)</f>
        <v>0.2329158233127622</v>
      </c>
      <c r="C138">
        <f t="shared" ref="C138:S138" si="28">C130/(C54+C57)</f>
        <v>0.35786584402701083</v>
      </c>
      <c r="D138">
        <f t="shared" si="28"/>
        <v>6.6093599276070739E-2</v>
      </c>
      <c r="E138">
        <f t="shared" si="28"/>
        <v>5.9188998881663422E-2</v>
      </c>
      <c r="F138">
        <f t="shared" si="28"/>
        <v>2.6145038057808163E-2</v>
      </c>
      <c r="G138">
        <f t="shared" si="28"/>
        <v>0.15332559017310513</v>
      </c>
      <c r="H138">
        <f t="shared" si="28"/>
        <v>-4.3844531702036005E-2</v>
      </c>
      <c r="I138">
        <f t="shared" si="28"/>
        <v>0.32230519854481965</v>
      </c>
      <c r="J138">
        <f t="shared" si="28"/>
        <v>0.35165130618834178</v>
      </c>
      <c r="K138">
        <f t="shared" si="28"/>
        <v>0.28019692496729015</v>
      </c>
      <c r="L138">
        <f t="shared" si="28"/>
        <v>0.58559416893356186</v>
      </c>
      <c r="M138">
        <f t="shared" si="28"/>
        <v>0.61942884444053292</v>
      </c>
      <c r="N138">
        <f t="shared" si="28"/>
        <v>0.26602171050863854</v>
      </c>
      <c r="O138">
        <f t="shared" si="28"/>
        <v>0.56948270634821496</v>
      </c>
      <c r="P138">
        <f t="shared" si="28"/>
        <v>5.8445533966771475</v>
      </c>
      <c r="Q138">
        <f t="shared" si="28"/>
        <v>10.470966508956426</v>
      </c>
      <c r="R138">
        <f t="shared" si="28"/>
        <v>10.015569282605643</v>
      </c>
      <c r="S138">
        <f t="shared" si="28"/>
        <v>5.7105143748449079</v>
      </c>
    </row>
    <row r="139" spans="1:19" x14ac:dyDescent="0.3">
      <c r="A139" s="6" t="s">
        <v>118</v>
      </c>
      <c r="B139">
        <f>B5/((B43+C43)/2)</f>
        <v>0.12583222161430371</v>
      </c>
      <c r="C139">
        <f t="shared" ref="C139:S139" si="29">C5/((C43+D43)/2)</f>
        <v>0.12660281835170006</v>
      </c>
      <c r="D139">
        <f t="shared" si="29"/>
        <v>0.1424082850375995</v>
      </c>
      <c r="E139">
        <f t="shared" si="29"/>
        <v>0.11259084960712448</v>
      </c>
      <c r="F139">
        <f t="shared" si="29"/>
        <v>0.1228141832751982</v>
      </c>
      <c r="G139">
        <f t="shared" si="29"/>
        <v>0.11180030266995766</v>
      </c>
      <c r="H139">
        <f t="shared" si="29"/>
        <v>0.11813564300558092</v>
      </c>
      <c r="I139">
        <f t="shared" si="29"/>
        <v>9.7684190162920514E-2</v>
      </c>
      <c r="J139">
        <f t="shared" si="29"/>
        <v>0.11270499933382876</v>
      </c>
      <c r="K139">
        <f t="shared" si="29"/>
        <v>0.1300217630599862</v>
      </c>
      <c r="L139">
        <f t="shared" si="29"/>
        <v>0.13624249742403216</v>
      </c>
      <c r="M139">
        <f t="shared" si="29"/>
        <v>0.12651584880860373</v>
      </c>
      <c r="N139">
        <f t="shared" si="29"/>
        <v>0.11265710768405261</v>
      </c>
      <c r="O139">
        <f t="shared" si="29"/>
        <v>0.12787995387166787</v>
      </c>
      <c r="P139">
        <f t="shared" si="29"/>
        <v>0.13918394155627062</v>
      </c>
      <c r="Q139">
        <f t="shared" si="29"/>
        <v>0.14424608265531663</v>
      </c>
      <c r="R139">
        <f t="shared" si="29"/>
        <v>9.9158765140359817E-2</v>
      </c>
      <c r="S139">
        <f t="shared" si="29"/>
        <v>0.24519989605644488</v>
      </c>
    </row>
    <row r="140" spans="1:19" x14ac:dyDescent="0.3">
      <c r="A140" s="6" t="s">
        <v>119</v>
      </c>
      <c r="B140" s="7">
        <f>B3/(-B18)</f>
        <v>5.3682442565806525</v>
      </c>
      <c r="C140" s="7">
        <f t="shared" ref="C140:S140" si="30">C3/(-C18)</f>
        <v>4.7889495145747905</v>
      </c>
      <c r="D140" s="7">
        <f t="shared" si="30"/>
        <v>6.7793523094952439</v>
      </c>
      <c r="E140" s="7">
        <f t="shared" si="30"/>
        <v>4.5093159774448646</v>
      </c>
      <c r="F140" s="7">
        <f t="shared" si="30"/>
        <v>4.7955291025237319</v>
      </c>
      <c r="G140" s="7">
        <f t="shared" si="30"/>
        <v>4.7450459272062702</v>
      </c>
      <c r="H140" s="7">
        <f t="shared" si="30"/>
        <v>5.0232192621103504</v>
      </c>
      <c r="I140" s="7">
        <f t="shared" si="30"/>
        <v>5.1281517755001982</v>
      </c>
      <c r="J140" s="7">
        <f t="shared" si="30"/>
        <v>5.5976156943962723</v>
      </c>
      <c r="K140" s="7">
        <f t="shared" si="30"/>
        <v>3.3479316545206279</v>
      </c>
      <c r="L140" s="7">
        <f t="shared" si="30"/>
        <v>5.1377986064582881</v>
      </c>
      <c r="M140" s="7">
        <f t="shared" si="30"/>
        <v>5.7168270004718424</v>
      </c>
      <c r="N140" s="7">
        <f t="shared" si="30"/>
        <v>5.238909956368401</v>
      </c>
      <c r="O140" s="7">
        <f t="shared" si="30"/>
        <v>5.4846332129947264</v>
      </c>
      <c r="P140" s="7">
        <f t="shared" si="30"/>
        <v>4.8972446007403052</v>
      </c>
      <c r="Q140" s="7">
        <f t="shared" si="30"/>
        <v>7.4144960889692975</v>
      </c>
      <c r="R140" s="7">
        <f t="shared" si="30"/>
        <v>3.0045606087598298</v>
      </c>
      <c r="S140" s="7">
        <f t="shared" si="30"/>
        <v>4.5361197211266981</v>
      </c>
    </row>
    <row r="141" spans="1:19" x14ac:dyDescent="0.3">
      <c r="A141" s="6" t="s">
        <v>120</v>
      </c>
      <c r="B141">
        <f>B24/(B42+B41+B40+B39+B35+B34+B33)</f>
        <v>0.17294929972931439</v>
      </c>
      <c r="C141">
        <f t="shared" ref="C141:S141" si="31">C24/(C42+C41+C40+C39+C35+C34+C33)</f>
        <v>0.1194229118376858</v>
      </c>
      <c r="D141">
        <f t="shared" si="31"/>
        <v>0.16957346324048939</v>
      </c>
      <c r="E141">
        <f t="shared" si="31"/>
        <v>0.13074249267731919</v>
      </c>
      <c r="F141">
        <f t="shared" si="31"/>
        <v>9.1310561924908662E-2</v>
      </c>
      <c r="G141">
        <f t="shared" si="31"/>
        <v>8.8072292752641015E-2</v>
      </c>
      <c r="H141">
        <f t="shared" si="31"/>
        <v>0.13524040815629002</v>
      </c>
      <c r="I141">
        <f t="shared" si="31"/>
        <v>0.1674997211441259</v>
      </c>
      <c r="J141">
        <f t="shared" si="31"/>
        <v>0.1520034602449524</v>
      </c>
      <c r="K141">
        <f t="shared" si="31"/>
        <v>0.10676422062582797</v>
      </c>
      <c r="L141">
        <f t="shared" si="31"/>
        <v>0.16758508256566579</v>
      </c>
      <c r="M141">
        <f t="shared" si="31"/>
        <v>0.126078736977638</v>
      </c>
      <c r="N141">
        <f t="shared" si="31"/>
        <v>0.1114124360737716</v>
      </c>
      <c r="O141">
        <f t="shared" si="31"/>
        <v>0.10362093939573498</v>
      </c>
      <c r="P141">
        <f t="shared" si="31"/>
        <v>0.2473069107222321</v>
      </c>
      <c r="Q141">
        <f t="shared" si="31"/>
        <v>8.6397263986989585E-4</v>
      </c>
      <c r="R141">
        <f t="shared" si="31"/>
        <v>1.4764039383672888E-2</v>
      </c>
      <c r="S141">
        <f t="shared" si="31"/>
        <v>0.12569923067270489</v>
      </c>
    </row>
    <row r="142" spans="1:19" x14ac:dyDescent="0.3">
      <c r="A142" s="6" t="s">
        <v>121</v>
      </c>
      <c r="B142">
        <f>B43/B50</f>
        <v>3.8198677074949567</v>
      </c>
      <c r="C142">
        <f t="shared" ref="C142:S142" si="32">C43/C50</f>
        <v>4.0553535453226681</v>
      </c>
      <c r="D142">
        <f t="shared" si="32"/>
        <v>3.8504529920696577</v>
      </c>
      <c r="E142">
        <f t="shared" si="32"/>
        <v>3.9486486768826938</v>
      </c>
      <c r="F142">
        <f t="shared" si="32"/>
        <v>4.2988944978073906</v>
      </c>
      <c r="G142">
        <f t="shared" si="32"/>
        <v>4.611777134644476</v>
      </c>
      <c r="H142">
        <f t="shared" si="32"/>
        <v>4.4374763403110329</v>
      </c>
      <c r="I142">
        <f t="shared" si="32"/>
        <v>4.5554448545593536</v>
      </c>
      <c r="J142">
        <f t="shared" si="32"/>
        <v>4.8143642777184121</v>
      </c>
      <c r="K142">
        <f t="shared" si="32"/>
        <v>4.4000584389923709</v>
      </c>
      <c r="L142">
        <f t="shared" si="32"/>
        <v>3.7157285829910571</v>
      </c>
      <c r="M142">
        <f t="shared" si="32"/>
        <v>3.7204603790109552</v>
      </c>
      <c r="N142">
        <f t="shared" si="32"/>
        <v>3.7088297140795836</v>
      </c>
      <c r="O142">
        <f t="shared" si="32"/>
        <v>3.7176029081041513</v>
      </c>
      <c r="P142">
        <f t="shared" si="32"/>
        <v>3.3419259807047874</v>
      </c>
      <c r="Q142">
        <f t="shared" si="32"/>
        <v>3.21253569536524</v>
      </c>
      <c r="R142">
        <f t="shared" si="32"/>
        <v>2.9289116152859127</v>
      </c>
      <c r="S142">
        <f t="shared" si="32"/>
        <v>2.8894790483929369</v>
      </c>
    </row>
    <row r="143" spans="1:19" x14ac:dyDescent="0.3">
      <c r="A143" s="6" t="s">
        <v>122</v>
      </c>
      <c r="B143">
        <f>B5/((B34+C34)/2)</f>
        <v>9.459311786893009</v>
      </c>
      <c r="C143">
        <f t="shared" ref="C143:S143" si="33">C5/((C34+D34)/2)</f>
        <v>9.1631633697350523</v>
      </c>
      <c r="D143">
        <f t="shared" si="33"/>
        <v>10.572735303210989</v>
      </c>
      <c r="E143">
        <f t="shared" si="33"/>
        <v>8.4631595693988686</v>
      </c>
      <c r="F143">
        <f t="shared" si="33"/>
        <v>9.3352350225998624</v>
      </c>
      <c r="G143">
        <f t="shared" si="33"/>
        <v>9.0000766142238096</v>
      </c>
      <c r="H143">
        <f t="shared" si="33"/>
        <v>9.7659444547899401</v>
      </c>
      <c r="I143">
        <f t="shared" si="33"/>
        <v>7.8026466693796994</v>
      </c>
      <c r="J143">
        <f t="shared" si="33"/>
        <v>8.3019548513427583</v>
      </c>
      <c r="K143">
        <f t="shared" si="33"/>
        <v>8.6662490019040597</v>
      </c>
      <c r="L143">
        <f t="shared" si="33"/>
        <v>8.5635145492420772</v>
      </c>
      <c r="M143">
        <f t="shared" si="33"/>
        <v>7.6490225662555762</v>
      </c>
      <c r="N143">
        <f t="shared" si="33"/>
        <v>6.3254915417953512</v>
      </c>
      <c r="O143">
        <f t="shared" si="33"/>
        <v>6.6281359512375833</v>
      </c>
      <c r="P143">
        <f t="shared" si="33"/>
        <v>6.4693657441707444</v>
      </c>
      <c r="Q143">
        <f t="shared" si="33"/>
        <v>5.8337544266726402</v>
      </c>
      <c r="R143">
        <f t="shared" si="33"/>
        <v>3.6270191634912083</v>
      </c>
      <c r="S143">
        <f t="shared" si="33"/>
        <v>8.5873298645127232</v>
      </c>
    </row>
    <row r="144" spans="1:19" x14ac:dyDescent="0.3">
      <c r="A144" s="6" t="s">
        <v>123</v>
      </c>
      <c r="B144">
        <f>((B119)-(B120))*365/B3</f>
        <v>-27.956667439687429</v>
      </c>
      <c r="C144">
        <f t="shared" ref="C144:S144" si="34">((C119)-(C120))*365/C3</f>
        <v>-10.602428342887523</v>
      </c>
      <c r="D144">
        <f t="shared" si="34"/>
        <v>4.3563534723991255</v>
      </c>
      <c r="E144">
        <f t="shared" si="34"/>
        <v>-70.482447118544442</v>
      </c>
      <c r="F144">
        <f t="shared" si="34"/>
        <v>-97.426911045638946</v>
      </c>
      <c r="G144">
        <f t="shared" si="34"/>
        <v>-159.25499923303374</v>
      </c>
      <c r="H144">
        <f t="shared" si="34"/>
        <v>-142.84729113623791</v>
      </c>
      <c r="I144">
        <f t="shared" si="34"/>
        <v>-205.01417664400034</v>
      </c>
      <c r="J144">
        <f t="shared" si="34"/>
        <v>-152.09986098673525</v>
      </c>
      <c r="K144">
        <f t="shared" si="34"/>
        <v>-89.531286292154036</v>
      </c>
      <c r="L144">
        <f t="shared" si="34"/>
        <v>-79.442945750906645</v>
      </c>
      <c r="M144">
        <f t="shared" si="34"/>
        <v>-82.633729627527217</v>
      </c>
      <c r="N144">
        <f t="shared" si="34"/>
        <v>-69.071511851933593</v>
      </c>
      <c r="O144">
        <f t="shared" si="34"/>
        <v>-71.278922331836455</v>
      </c>
      <c r="P144">
        <f t="shared" si="34"/>
        <v>-38.782740784176539</v>
      </c>
      <c r="Q144">
        <f t="shared" si="34"/>
        <v>-40.560276077059363</v>
      </c>
      <c r="R144">
        <f t="shared" si="34"/>
        <v>26.424102688335076</v>
      </c>
      <c r="S144">
        <f t="shared" si="34"/>
        <v>-0.42753096394736939</v>
      </c>
    </row>
    <row r="145" spans="1:19" x14ac:dyDescent="0.3">
      <c r="A145" s="6" t="s">
        <v>124</v>
      </c>
      <c r="B145">
        <f>-B4/((B119)-(B120))</f>
        <v>-1.1531191127101719</v>
      </c>
      <c r="C145">
        <f t="shared" ref="C145:S145" si="35">-C4/((C119)-(C120))</f>
        <v>-3.0550215318363581</v>
      </c>
      <c r="D145">
        <f t="shared" si="35"/>
        <v>6.5688479817638328</v>
      </c>
      <c r="E145">
        <f t="shared" si="35"/>
        <v>-0.50932197323479889</v>
      </c>
      <c r="F145">
        <f t="shared" si="35"/>
        <v>-0.37113605665702093</v>
      </c>
      <c r="G145">
        <f t="shared" si="35"/>
        <v>-0.24495141849716162</v>
      </c>
      <c r="H145">
        <f t="shared" si="35"/>
        <v>-0.30715212241345002</v>
      </c>
      <c r="I145">
        <f t="shared" si="35"/>
        <v>-0.24897687352542466</v>
      </c>
      <c r="J145">
        <f t="shared" si="35"/>
        <v>-0.28228828143211704</v>
      </c>
      <c r="K145">
        <f t="shared" si="35"/>
        <v>-0.36002840743454312</v>
      </c>
      <c r="L145">
        <f t="shared" si="35"/>
        <v>-0.39476710845676521</v>
      </c>
      <c r="M145">
        <f t="shared" si="35"/>
        <v>-0.41622468297695853</v>
      </c>
      <c r="N145">
        <f t="shared" si="35"/>
        <v>-0.52657465495608535</v>
      </c>
      <c r="O145">
        <f t="shared" si="35"/>
        <v>-0.47364158666721157</v>
      </c>
      <c r="P145">
        <f t="shared" si="35"/>
        <v>-0.9403839397444349</v>
      </c>
      <c r="Q145">
        <f t="shared" si="35"/>
        <v>-1.06303040822134</v>
      </c>
      <c r="R145">
        <f t="shared" si="35"/>
        <v>2.0104132540833994</v>
      </c>
      <c r="S145">
        <f t="shared" si="35"/>
        <v>-107.86929867582148</v>
      </c>
    </row>
    <row r="146" spans="1:19" x14ac:dyDescent="0.3">
      <c r="A146" s="6" t="s">
        <v>125</v>
      </c>
      <c r="B146">
        <f>B42*365/(-(B14+B17+B18+B19)-(-B15-B16))</f>
        <v>101.19013688136981</v>
      </c>
      <c r="C146">
        <f t="shared" ref="C146:S146" si="36">C42*365/(-(C14+C17+C18+C19)-(-C15-C16))</f>
        <v>87.868385246072236</v>
      </c>
      <c r="D146">
        <f t="shared" si="36"/>
        <v>73.403771842396424</v>
      </c>
      <c r="E146">
        <f t="shared" si="36"/>
        <v>71.036162723843447</v>
      </c>
      <c r="F146">
        <f t="shared" si="36"/>
        <v>85.83179880553908</v>
      </c>
      <c r="G146">
        <f t="shared" si="36"/>
        <v>54.504189483190345</v>
      </c>
      <c r="H146">
        <f t="shared" si="36"/>
        <v>52.605731205857069</v>
      </c>
      <c r="I146">
        <f t="shared" si="36"/>
        <v>70.56480152941981</v>
      </c>
      <c r="J146">
        <f t="shared" si="36"/>
        <v>89.994085349734604</v>
      </c>
      <c r="K146">
        <f t="shared" si="36"/>
        <v>78.643154216290995</v>
      </c>
      <c r="L146">
        <f t="shared" si="36"/>
        <v>86.225840315838965</v>
      </c>
      <c r="M146">
        <f t="shared" si="36"/>
        <v>73.572156825239574</v>
      </c>
      <c r="N146">
        <f t="shared" si="36"/>
        <v>109.90665283629247</v>
      </c>
      <c r="O146">
        <f t="shared" si="36"/>
        <v>90.972470842690953</v>
      </c>
      <c r="P146">
        <f t="shared" si="36"/>
        <v>91.605814829989569</v>
      </c>
      <c r="Q146">
        <f t="shared" si="36"/>
        <v>122.98086235552498</v>
      </c>
      <c r="R146">
        <f t="shared" si="36"/>
        <v>72.000253896252005</v>
      </c>
      <c r="S146">
        <f t="shared" si="36"/>
        <v>35.326137587574117</v>
      </c>
    </row>
    <row r="147" spans="1:19" x14ac:dyDescent="0.3">
      <c r="A147" s="6" t="s">
        <v>126</v>
      </c>
      <c r="B147">
        <f>B43/B3</f>
        <v>7.4689930523063817</v>
      </c>
      <c r="C147">
        <f t="shared" ref="C147:S147" si="37">C43/C3</f>
        <v>7.2280680519018539</v>
      </c>
      <c r="D147">
        <f t="shared" si="37"/>
        <v>6.5885361516946039</v>
      </c>
      <c r="E147">
        <f t="shared" si="37"/>
        <v>8.1482303295071468</v>
      </c>
      <c r="F147">
        <f t="shared" si="37"/>
        <v>7.3700705379237297</v>
      </c>
      <c r="G147">
        <f t="shared" si="37"/>
        <v>7.9150714381435874</v>
      </c>
      <c r="H147">
        <f t="shared" si="37"/>
        <v>7.5294564794173482</v>
      </c>
      <c r="I147">
        <f t="shared" si="37"/>
        <v>8.9526169836327902</v>
      </c>
      <c r="J147">
        <f t="shared" si="37"/>
        <v>8.1504348517057927</v>
      </c>
      <c r="K147">
        <f t="shared" si="37"/>
        <v>7.2444256974468937</v>
      </c>
      <c r="L147">
        <f t="shared" si="37"/>
        <v>6.8776279433857441</v>
      </c>
      <c r="M147">
        <f t="shared" si="37"/>
        <v>7.2663890102109239</v>
      </c>
      <c r="N147">
        <f t="shared" si="37"/>
        <v>8.2117426222776189</v>
      </c>
      <c r="O147">
        <f t="shared" si="37"/>
        <v>7.2188056774249914</v>
      </c>
      <c r="P147">
        <f t="shared" si="37"/>
        <v>6.964078358932027</v>
      </c>
      <c r="Q147">
        <f t="shared" si="37"/>
        <v>6.3837116777680594</v>
      </c>
      <c r="R147">
        <f t="shared" si="37"/>
        <v>8.828215575029942</v>
      </c>
      <c r="S147">
        <f t="shared" si="37"/>
        <v>7.1260289600979334</v>
      </c>
    </row>
    <row r="148" spans="1:19" x14ac:dyDescent="0.3">
      <c r="A148" s="6" t="s">
        <v>127</v>
      </c>
      <c r="B148">
        <f>B5/B50</f>
        <v>0.46625977926649848</v>
      </c>
      <c r="C148">
        <f t="shared" ref="C148:S148" si="38">C5/C50</f>
        <v>0.51126737726644667</v>
      </c>
      <c r="D148">
        <f t="shared" si="38"/>
        <v>0.53859841333150738</v>
      </c>
      <c r="E148">
        <f t="shared" si="38"/>
        <v>0.43694071333031204</v>
      </c>
      <c r="F148">
        <f t="shared" si="38"/>
        <v>0.52550725268346676</v>
      </c>
      <c r="G148">
        <f t="shared" si="38"/>
        <v>0.52038555804643682</v>
      </c>
      <c r="H148">
        <f t="shared" si="38"/>
        <v>0.51850449796209375</v>
      </c>
      <c r="I148">
        <f t="shared" si="38"/>
        <v>0.43768030470336594</v>
      </c>
      <c r="J148">
        <f t="shared" si="38"/>
        <v>0.52120368117274707</v>
      </c>
      <c r="K148">
        <f t="shared" si="38"/>
        <v>0.5537335232181968</v>
      </c>
      <c r="L148">
        <f t="shared" si="38"/>
        <v>0.49384271322566237</v>
      </c>
      <c r="M148">
        <f t="shared" si="38"/>
        <v>0.46376251886990755</v>
      </c>
      <c r="N148">
        <f t="shared" si="38"/>
        <v>0.40664382255618792</v>
      </c>
      <c r="O148">
        <f t="shared" si="38"/>
        <v>0.46735478299544764</v>
      </c>
      <c r="P148">
        <f t="shared" si="38"/>
        <v>0.43193109027986121</v>
      </c>
      <c r="Q148">
        <f t="shared" si="38"/>
        <v>0.44379268009977885</v>
      </c>
      <c r="R148">
        <f t="shared" si="38"/>
        <v>0.28348057842901969</v>
      </c>
      <c r="S148">
        <f t="shared" si="38"/>
        <v>0.35424998116161172</v>
      </c>
    </row>
    <row r="149" spans="1:19" x14ac:dyDescent="0.3">
      <c r="A149" s="6" t="s">
        <v>128</v>
      </c>
      <c r="B149">
        <f>B5/(((B34+C34)/2)-B131)</f>
        <v>9.951092857549936</v>
      </c>
      <c r="C149">
        <f t="shared" ref="C149:S149" si="39">C5/(((C34+D34)/2)-C131)</f>
        <v>9.6407273984074866</v>
      </c>
      <c r="D149">
        <f t="shared" si="39"/>
        <v>11.33885909081579</v>
      </c>
      <c r="E149">
        <f t="shared" si="39"/>
        <v>8.7768326038291953</v>
      </c>
      <c r="F149">
        <f t="shared" si="39"/>
        <v>9.852710434134714</v>
      </c>
      <c r="G149">
        <f t="shared" si="39"/>
        <v>9.5038126337444542</v>
      </c>
      <c r="H149">
        <f t="shared" si="39"/>
        <v>10.34923904273862</v>
      </c>
      <c r="I149">
        <f t="shared" si="39"/>
        <v>8.2667037359451978</v>
      </c>
      <c r="J149">
        <f t="shared" si="39"/>
        <v>8.8059966942443317</v>
      </c>
      <c r="K149">
        <f t="shared" si="39"/>
        <v>9.1715628112002179</v>
      </c>
      <c r="L149">
        <f t="shared" si="39"/>
        <v>9.0818790337707807</v>
      </c>
      <c r="M149">
        <f t="shared" si="39"/>
        <v>8.1105480800331087</v>
      </c>
      <c r="N149">
        <f t="shared" si="39"/>
        <v>6.691474754672524</v>
      </c>
      <c r="O149">
        <f t="shared" si="39"/>
        <v>6.9922978519915624</v>
      </c>
      <c r="P149">
        <f t="shared" si="39"/>
        <v>6.8988767837838925</v>
      </c>
      <c r="Q149">
        <f t="shared" si="39"/>
        <v>6.1317932812185685</v>
      </c>
      <c r="R149">
        <f t="shared" si="39"/>
        <v>3.8407759863358661</v>
      </c>
      <c r="S149">
        <f t="shared" si="39"/>
        <v>9.5073798315860536</v>
      </c>
    </row>
    <row r="150" spans="1:19" x14ac:dyDescent="0.3">
      <c r="A150" s="6" t="s">
        <v>129</v>
      </c>
      <c r="B150">
        <f>B5/(B50+B54+B57)</f>
        <v>0.34369197329511952</v>
      </c>
      <c r="C150">
        <f t="shared" ref="C150:S150" si="40">C5/(C50+C54+C57)</f>
        <v>0.36385511032320522</v>
      </c>
      <c r="D150">
        <f t="shared" si="40"/>
        <v>0.38351435749138602</v>
      </c>
      <c r="E150">
        <f t="shared" si="40"/>
        <v>0.3024354139829537</v>
      </c>
      <c r="F150">
        <f t="shared" si="40"/>
        <v>0.35812254283693212</v>
      </c>
      <c r="G150">
        <f t="shared" si="40"/>
        <v>0.33619405111426975</v>
      </c>
      <c r="H150">
        <f t="shared" si="40"/>
        <v>0.33507318801128788</v>
      </c>
      <c r="I150">
        <f t="shared" si="40"/>
        <v>0.27820989685833536</v>
      </c>
      <c r="J150">
        <f t="shared" si="40"/>
        <v>0.32215198051579325</v>
      </c>
      <c r="K150">
        <f t="shared" si="40"/>
        <v>0.36613001062461881</v>
      </c>
      <c r="L150">
        <f t="shared" si="40"/>
        <v>0.37500206182254786</v>
      </c>
      <c r="M150">
        <f t="shared" si="40"/>
        <v>0.34607440921678284</v>
      </c>
      <c r="N150">
        <f t="shared" si="40"/>
        <v>0.29464742483732875</v>
      </c>
      <c r="O150">
        <f t="shared" si="40"/>
        <v>0.34293088567057745</v>
      </c>
      <c r="P150">
        <f t="shared" si="40"/>
        <v>0.41490592247521235</v>
      </c>
      <c r="Q150">
        <f t="shared" si="40"/>
        <v>0.43430294550539994</v>
      </c>
      <c r="R150">
        <f t="shared" si="40"/>
        <v>0.27901257104924698</v>
      </c>
      <c r="S150">
        <f t="shared" si="40"/>
        <v>0.33240816137400331</v>
      </c>
    </row>
    <row r="151" spans="1:19" x14ac:dyDescent="0.3">
      <c r="A151" s="6" t="s">
        <v>130</v>
      </c>
      <c r="B151">
        <f>B5/(B22-B20)</f>
        <v>3.5714484562755744</v>
      </c>
      <c r="C151">
        <f t="shared" ref="C151:S151" si="41">C5/(C22-C20)</f>
        <v>4.0858197883972807</v>
      </c>
      <c r="D151">
        <f t="shared" si="41"/>
        <v>7.7899729570534575</v>
      </c>
      <c r="E151">
        <f t="shared" si="41"/>
        <v>5.4390663729683748</v>
      </c>
      <c r="F151">
        <f t="shared" si="41"/>
        <v>5.3332396538115852</v>
      </c>
      <c r="G151">
        <f t="shared" si="41"/>
        <v>3.7564277361100178</v>
      </c>
      <c r="H151">
        <f t="shared" si="41"/>
        <v>3.7465111086301217</v>
      </c>
      <c r="I151">
        <f t="shared" si="41"/>
        <v>3.5269475329887645</v>
      </c>
      <c r="J151">
        <f t="shared" si="41"/>
        <v>-25.434260507921476</v>
      </c>
      <c r="K151">
        <f t="shared" si="41"/>
        <v>-8.3513057916983655</v>
      </c>
      <c r="L151">
        <f t="shared" si="41"/>
        <v>5.2985572655531188</v>
      </c>
      <c r="M151">
        <f t="shared" si="41"/>
        <v>6.4967398375002956</v>
      </c>
      <c r="N151">
        <f t="shared" si="41"/>
        <v>5.5170747186083604</v>
      </c>
      <c r="O151">
        <f t="shared" si="41"/>
        <v>5.9781260333408506</v>
      </c>
      <c r="P151">
        <f t="shared" si="41"/>
        <v>3.1073939162248245</v>
      </c>
      <c r="Q151">
        <f t="shared" si="41"/>
        <v>53.560232101994117</v>
      </c>
      <c r="R151">
        <f t="shared" si="41"/>
        <v>14.01836586084414</v>
      </c>
      <c r="S151">
        <f t="shared" si="41"/>
        <v>4.5529712900038914</v>
      </c>
    </row>
    <row r="152" spans="1:19" x14ac:dyDescent="0.3">
      <c r="A152" s="6" t="s">
        <v>131</v>
      </c>
      <c r="B152">
        <f>(B119)/(B120)</f>
        <v>0.89876476290445628</v>
      </c>
      <c r="C152">
        <f t="shared" ref="C152:S152" si="42">(C119)/(C120)</f>
        <v>0.96126819555629683</v>
      </c>
      <c r="D152">
        <f t="shared" si="42"/>
        <v>1.0194186920309698</v>
      </c>
      <c r="E152">
        <f t="shared" si="42"/>
        <v>0.75332527105097591</v>
      </c>
      <c r="F152">
        <f t="shared" si="42"/>
        <v>0.68505784211307397</v>
      </c>
      <c r="G152">
        <f t="shared" si="42"/>
        <v>0.59155054055229339</v>
      </c>
      <c r="H152">
        <f t="shared" si="42"/>
        <v>0.59446753255153584</v>
      </c>
      <c r="I152">
        <f t="shared" si="42"/>
        <v>0.50117873234638999</v>
      </c>
      <c r="J152">
        <f t="shared" si="42"/>
        <v>0.55904948823291889</v>
      </c>
      <c r="K152">
        <f t="shared" si="42"/>
        <v>0.68623996695710709</v>
      </c>
      <c r="L152">
        <f t="shared" si="42"/>
        <v>0.68229400038989663</v>
      </c>
      <c r="M152">
        <f t="shared" si="42"/>
        <v>0.67162140464835907</v>
      </c>
      <c r="N152">
        <f t="shared" si="42"/>
        <v>0.77333816531891109</v>
      </c>
      <c r="O152">
        <f t="shared" si="42"/>
        <v>0.71131466986007519</v>
      </c>
      <c r="P152">
        <f t="shared" si="42"/>
        <v>0.81587855824438438</v>
      </c>
      <c r="Q152">
        <f t="shared" si="42"/>
        <v>0.81630690465024458</v>
      </c>
      <c r="R152">
        <f t="shared" si="42"/>
        <v>1.1054965129914214</v>
      </c>
      <c r="S152">
        <f t="shared" si="42"/>
        <v>0.99826469931170947</v>
      </c>
    </row>
    <row r="153" spans="1:19" x14ac:dyDescent="0.3">
      <c r="A153" s="6" t="s">
        <v>132</v>
      </c>
      <c r="B153">
        <f>(B42+B39+B40+B41)/(B120)</f>
        <v>1.0104935642627295</v>
      </c>
      <c r="C153">
        <f t="shared" ref="C153:S153" si="43">(C42+C39+C40+C41)/(C120)</f>
        <v>1.0712371526285966</v>
      </c>
      <c r="D153">
        <f t="shared" si="43"/>
        <v>1.1165541207144338</v>
      </c>
      <c r="E153">
        <f t="shared" si="43"/>
        <v>0.87317334754918463</v>
      </c>
      <c r="F153">
        <f t="shared" si="43"/>
        <v>0.78604820006343645</v>
      </c>
      <c r="G153">
        <f t="shared" si="43"/>
        <v>0.70303192319736907</v>
      </c>
      <c r="H153">
        <f t="shared" si="43"/>
        <v>0.68637816055523571</v>
      </c>
      <c r="I153">
        <f t="shared" si="43"/>
        <v>0.57569358551949967</v>
      </c>
      <c r="J153">
        <f t="shared" si="43"/>
        <v>0.63304309674210824</v>
      </c>
      <c r="K153">
        <f t="shared" si="43"/>
        <v>0.77716280303001917</v>
      </c>
      <c r="L153">
        <f t="shared" si="43"/>
        <v>0.74138757250596332</v>
      </c>
      <c r="M153">
        <f t="shared" si="43"/>
        <v>0.74737568554986245</v>
      </c>
      <c r="N153">
        <f t="shared" si="43"/>
        <v>0.88255024831638884</v>
      </c>
      <c r="O153">
        <f t="shared" si="43"/>
        <v>0.82836722914579319</v>
      </c>
      <c r="P153">
        <f t="shared" si="43"/>
        <v>0.9333663556679882</v>
      </c>
      <c r="Q153">
        <f t="shared" si="43"/>
        <v>0.94386118407272224</v>
      </c>
      <c r="R153">
        <f t="shared" si="43"/>
        <v>1.2401821884836142</v>
      </c>
      <c r="S153">
        <f t="shared" si="43"/>
        <v>1.1403938255976001</v>
      </c>
    </row>
    <row r="154" spans="1:19" x14ac:dyDescent="0.3">
      <c r="A154" s="6" t="s">
        <v>133</v>
      </c>
      <c r="B154">
        <f>B42/(B120)</f>
        <v>0.24730033870791962</v>
      </c>
      <c r="C154">
        <f t="shared" ref="C154:S154" si="44">C42/(C120)</f>
        <v>0.25192370841241746</v>
      </c>
      <c r="D154">
        <f t="shared" si="44"/>
        <v>0.22961149044025822</v>
      </c>
      <c r="E154">
        <f t="shared" si="44"/>
        <v>0.21880604086790967</v>
      </c>
      <c r="F154">
        <f t="shared" si="44"/>
        <v>0.20944595679919453</v>
      </c>
      <c r="G154">
        <f t="shared" si="44"/>
        <v>0.14225705805779093</v>
      </c>
      <c r="H154">
        <f t="shared" si="44"/>
        <v>0.11965381853933675</v>
      </c>
      <c r="I154">
        <f t="shared" si="44"/>
        <v>0.16422485839881754</v>
      </c>
      <c r="J154">
        <f t="shared" si="44"/>
        <v>0.12248247422836249</v>
      </c>
      <c r="K154">
        <f t="shared" si="44"/>
        <v>0.14550113474742751</v>
      </c>
      <c r="L154">
        <f t="shared" si="44"/>
        <v>0.17783162387840942</v>
      </c>
      <c r="M154">
        <f t="shared" si="44"/>
        <v>0.15910475004718216</v>
      </c>
      <c r="N154">
        <f t="shared" si="44"/>
        <v>0.15560104050200646</v>
      </c>
      <c r="O154">
        <f t="shared" si="44"/>
        <v>0.15484936821616735</v>
      </c>
      <c r="P154">
        <f t="shared" si="44"/>
        <v>0.20146361867852758</v>
      </c>
      <c r="Q154">
        <f t="shared" si="44"/>
        <v>0.11130483783367966</v>
      </c>
      <c r="R154">
        <f t="shared" si="44"/>
        <v>0.16609911744738629</v>
      </c>
      <c r="S154">
        <f t="shared" si="44"/>
        <v>6.9936277273646028E-2</v>
      </c>
    </row>
    <row r="155" spans="1:19" x14ac:dyDescent="0.3">
      <c r="A155" s="6" t="s">
        <v>134</v>
      </c>
      <c r="B155">
        <f>(1.2*((B119-B120)/B43))+(1.4*(B47/B43))+(3.3*((B22-B20)/B43))+(0.6*((B116*B117)/B58))+(B3/B43)</f>
        <v>0.62544370251404913</v>
      </c>
      <c r="C155">
        <f t="shared" ref="C155:S155" si="45">1.2*((C119-C120)/C43)+1.4*((C47/C43))+3.3*((C22-C20)/C43)+0.6*((C116*C117)/C58)+(C3/C43)</f>
        <v>0.64340260281412365</v>
      </c>
      <c r="D155">
        <f t="shared" si="45"/>
        <v>0.97587615701385599</v>
      </c>
      <c r="E155">
        <f t="shared" si="45"/>
        <v>0.84243895590665319</v>
      </c>
      <c r="F155">
        <f t="shared" si="45"/>
        <v>0.96736346803950402</v>
      </c>
      <c r="G155">
        <f t="shared" si="45"/>
        <v>0.98219689273478206</v>
      </c>
      <c r="H155">
        <f t="shared" si="45"/>
        <v>1.032915423848197</v>
      </c>
      <c r="I155">
        <f t="shared" si="45"/>
        <v>0.99221866901823874</v>
      </c>
      <c r="J155">
        <f t="shared" si="45"/>
        <v>0.80407537327368073</v>
      </c>
      <c r="K155">
        <f t="shared" si="45"/>
        <v>0.72240462527812399</v>
      </c>
      <c r="L155">
        <f t="shared" si="45"/>
        <v>0.90176659790421843</v>
      </c>
      <c r="M155">
        <f t="shared" si="45"/>
        <v>1.1129842016756628</v>
      </c>
      <c r="N155">
        <f t="shared" si="45"/>
        <v>0.77871321157606865</v>
      </c>
      <c r="O155">
        <f t="shared" si="45"/>
        <v>0.80672741283026839</v>
      </c>
      <c r="P155">
        <f t="shared" si="45"/>
        <v>0.99071616491084635</v>
      </c>
      <c r="Q155">
        <f t="shared" si="45"/>
        <v>0.94277398591059169</v>
      </c>
      <c r="R155">
        <f t="shared" si="45"/>
        <v>0.99950336864558109</v>
      </c>
      <c r="S155">
        <f t="shared" si="45"/>
        <v>1.0367629956091773</v>
      </c>
    </row>
    <row r="156" spans="1:19" x14ac:dyDescent="0.3">
      <c r="A156" s="6" t="s">
        <v>138</v>
      </c>
      <c r="B156">
        <f>B119/(-B18/90)</f>
        <v>328.53500216952591</v>
      </c>
      <c r="C156">
        <f t="shared" ref="C156:S156" si="46">C119/(-C18/90)</f>
        <v>310.72206373073726</v>
      </c>
      <c r="D156">
        <f t="shared" si="46"/>
        <v>382.2905637428691</v>
      </c>
      <c r="E156">
        <f t="shared" si="46"/>
        <v>239.33111511979172</v>
      </c>
      <c r="F156">
        <f t="shared" si="46"/>
        <v>250.58874011522445</v>
      </c>
      <c r="G156">
        <f t="shared" si="46"/>
        <v>269.85885263253874</v>
      </c>
      <c r="H156">
        <f t="shared" si="46"/>
        <v>259.3619719910792</v>
      </c>
      <c r="I156">
        <f t="shared" si="46"/>
        <v>260.46062615273269</v>
      </c>
      <c r="J156">
        <f t="shared" si="46"/>
        <v>266.15948279739598</v>
      </c>
      <c r="K156">
        <f t="shared" si="46"/>
        <v>161.65138821346798</v>
      </c>
      <c r="L156">
        <f t="shared" si="46"/>
        <v>216.13654122156737</v>
      </c>
      <c r="M156">
        <f t="shared" si="46"/>
        <v>238.2383857448167</v>
      </c>
      <c r="N156">
        <f t="shared" si="46"/>
        <v>304.42518951846495</v>
      </c>
      <c r="O156">
        <f t="shared" si="46"/>
        <v>237.51738842952358</v>
      </c>
      <c r="P156">
        <f t="shared" si="46"/>
        <v>207.52054122006629</v>
      </c>
      <c r="Q156">
        <f t="shared" si="46"/>
        <v>329.52838157824721</v>
      </c>
      <c r="R156">
        <f t="shared" si="46"/>
        <v>205.13989769170081</v>
      </c>
      <c r="S156">
        <f t="shared" si="46"/>
        <v>275.08866904576706</v>
      </c>
    </row>
    <row r="157" spans="1:19" x14ac:dyDescent="0.3">
      <c r="A157" s="6" t="s">
        <v>139</v>
      </c>
      <c r="B157">
        <f>B5/(B119-B120)</f>
        <v>-11.902800402283383</v>
      </c>
      <c r="C157">
        <f t="shared" ref="C157:S157" si="47">C5/(C119-C120)</f>
        <v>-31.371054098738849</v>
      </c>
      <c r="D157">
        <f t="shared" si="47"/>
        <v>77.216823294122705</v>
      </c>
      <c r="E157">
        <f t="shared" si="47"/>
        <v>-4.6692723423982327</v>
      </c>
      <c r="F157">
        <f t="shared" si="47"/>
        <v>-3.3752621005114678</v>
      </c>
      <c r="G157">
        <f t="shared" si="47"/>
        <v>-2.0469703532389008</v>
      </c>
      <c r="H157">
        <f t="shared" si="47"/>
        <v>-2.2480240877667494</v>
      </c>
      <c r="I157">
        <f t="shared" si="47"/>
        <v>-1.5313878113705335</v>
      </c>
      <c r="J157">
        <f t="shared" si="47"/>
        <v>-2.1174509269543518</v>
      </c>
      <c r="K157">
        <f t="shared" si="47"/>
        <v>-3.7167587707251695</v>
      </c>
      <c r="L157">
        <f t="shared" si="47"/>
        <v>-4.1997251595472118</v>
      </c>
      <c r="M157">
        <f t="shared" si="47"/>
        <v>-4.0008578043468379</v>
      </c>
      <c r="N157">
        <f t="shared" si="47"/>
        <v>-4.7578036685188501</v>
      </c>
      <c r="O157">
        <f t="shared" si="47"/>
        <v>-4.6470867865923564</v>
      </c>
      <c r="P157">
        <f t="shared" si="47"/>
        <v>-8.4710189838189489</v>
      </c>
      <c r="Q157">
        <f t="shared" si="47"/>
        <v>-7.9359221459118325</v>
      </c>
      <c r="R157">
        <f t="shared" si="47"/>
        <v>11.802733186689755</v>
      </c>
      <c r="S157">
        <f t="shared" si="47"/>
        <v>-745.87003433055418</v>
      </c>
    </row>
    <row r="158" spans="1:19" x14ac:dyDescent="0.3">
      <c r="A158" s="6" t="s">
        <v>141</v>
      </c>
      <c r="B158">
        <f>(B42+B118)/B120</f>
        <v>0.25138361898370415</v>
      </c>
      <c r="C158">
        <f t="shared" ref="C158:S158" si="48">(C42+C118)/C120</f>
        <v>0.3413035497948963</v>
      </c>
      <c r="D158">
        <f t="shared" si="48"/>
        <v>0.34522664362643163</v>
      </c>
      <c r="E158">
        <f t="shared" si="48"/>
        <v>0.46354010431917891</v>
      </c>
      <c r="F158">
        <f t="shared" si="48"/>
        <v>0.28987766658615866</v>
      </c>
      <c r="G158">
        <f t="shared" si="48"/>
        <v>0.14225705805779093</v>
      </c>
      <c r="H158">
        <f t="shared" si="48"/>
        <v>0.29751230587124272</v>
      </c>
      <c r="I158">
        <f t="shared" si="48"/>
        <v>0.2809768064153228</v>
      </c>
      <c r="J158">
        <f t="shared" si="48"/>
        <v>0.65997310457039016</v>
      </c>
      <c r="K158">
        <f t="shared" si="48"/>
        <v>0.14550113474742751</v>
      </c>
      <c r="L158">
        <f t="shared" si="48"/>
        <v>0.17783162387840942</v>
      </c>
      <c r="M158">
        <f t="shared" si="48"/>
        <v>0.27049438461776809</v>
      </c>
      <c r="N158">
        <f t="shared" si="48"/>
        <v>0.26160841198852458</v>
      </c>
      <c r="O158">
        <f t="shared" si="48"/>
        <v>0.30493408316751019</v>
      </c>
      <c r="P158">
        <f t="shared" si="48"/>
        <v>0.54890134111138933</v>
      </c>
      <c r="Q158">
        <f t="shared" si="48"/>
        <v>0.11130483783367966</v>
      </c>
      <c r="R158">
        <f t="shared" si="48"/>
        <v>0.16609911744738629</v>
      </c>
      <c r="S158">
        <f t="shared" si="48"/>
        <v>6.9936277273646028E-2</v>
      </c>
    </row>
    <row r="159" spans="1:19" x14ac:dyDescent="0.3">
      <c r="A159" s="6" t="s">
        <v>142</v>
      </c>
      <c r="B159">
        <f>(B119-B120)/(B54+B57)</f>
        <v>-0.10984284687104762</v>
      </c>
      <c r="C159">
        <f t="shared" ref="C159:S159" si="49">(C119-C120)/(C54+C57)</f>
        <v>-4.0226646092941756E-2</v>
      </c>
      <c r="D159">
        <f t="shared" si="49"/>
        <v>1.7249146695644611E-2</v>
      </c>
      <c r="E159">
        <f t="shared" si="49"/>
        <v>-0.21041008722738416</v>
      </c>
      <c r="F159">
        <f t="shared" si="49"/>
        <v>-0.3331095525108112</v>
      </c>
      <c r="G159">
        <f t="shared" si="49"/>
        <v>-0.46401722876844659</v>
      </c>
      <c r="H159">
        <f t="shared" si="49"/>
        <v>-0.42132553211935819</v>
      </c>
      <c r="I159">
        <f t="shared" si="49"/>
        <v>-0.49861379322887162</v>
      </c>
      <c r="J159">
        <f t="shared" si="49"/>
        <v>-0.3983722086671575</v>
      </c>
      <c r="K159">
        <f t="shared" si="49"/>
        <v>-0.29075741848883946</v>
      </c>
      <c r="L159">
        <f t="shared" si="49"/>
        <v>-0.37105339700507578</v>
      </c>
      <c r="M159">
        <f t="shared" si="49"/>
        <v>-0.3408626601548691</v>
      </c>
      <c r="N159">
        <f t="shared" si="49"/>
        <v>-0.22485692022462853</v>
      </c>
      <c r="O159">
        <f t="shared" si="49"/>
        <v>-0.27718435183945811</v>
      </c>
      <c r="P159">
        <f t="shared" si="49"/>
        <v>-1.2426162924737933</v>
      </c>
      <c r="Q159">
        <f t="shared" si="49"/>
        <v>-2.5593014607136215</v>
      </c>
      <c r="R159">
        <f t="shared" si="49"/>
        <v>1.4998596097150076</v>
      </c>
      <c r="S159">
        <f t="shared" si="49"/>
        <v>-7.2281895848842568E-3</v>
      </c>
    </row>
    <row r="160" spans="1:19" x14ac:dyDescent="0.3">
      <c r="A160" s="6" t="s">
        <v>143</v>
      </c>
      <c r="B160">
        <f>(B130)/(B54+B34+B129)</f>
        <v>0.22038837756551924</v>
      </c>
      <c r="C160">
        <f t="shared" ref="C160:S160" si="50">(C130)/(C54+C34+C129)</f>
        <v>0.29625921695146007</v>
      </c>
      <c r="D160">
        <f t="shared" si="50"/>
        <v>6.2273609924745177E-2</v>
      </c>
      <c r="E160">
        <f t="shared" si="50"/>
        <v>5.6824103132702843E-2</v>
      </c>
      <c r="F160">
        <f t="shared" si="50"/>
        <v>2.5091780058684593E-2</v>
      </c>
      <c r="G160">
        <f t="shared" si="50"/>
        <v>0.13317823907822643</v>
      </c>
      <c r="H160">
        <f t="shared" si="50"/>
        <v>-4.1934994034491482E-2</v>
      </c>
      <c r="I160">
        <f t="shared" si="50"/>
        <v>0.3045462067209776</v>
      </c>
      <c r="J160">
        <f t="shared" si="50"/>
        <v>0.3365376713934492</v>
      </c>
      <c r="K160">
        <f t="shared" si="50"/>
        <v>0.23983730030108466</v>
      </c>
      <c r="L160">
        <f t="shared" si="50"/>
        <v>0.53356672845944286</v>
      </c>
      <c r="M160">
        <f t="shared" si="50"/>
        <v>0.56813999378887647</v>
      </c>
      <c r="N160">
        <f t="shared" si="50"/>
        <v>0.26965304592217904</v>
      </c>
      <c r="O160">
        <f t="shared" si="50"/>
        <v>0.45051556019680011</v>
      </c>
      <c r="P160">
        <f t="shared" si="50"/>
        <v>2.8258816972226835</v>
      </c>
      <c r="Q160">
        <f t="shared" si="50"/>
        <v>3.0444650690599229</v>
      </c>
      <c r="R160">
        <f t="shared" si="50"/>
        <v>2.0914737022633894</v>
      </c>
      <c r="S160">
        <f t="shared" si="50"/>
        <v>4.5478976744973929</v>
      </c>
    </row>
    <row r="161" spans="1:19" x14ac:dyDescent="0.3">
      <c r="A161" s="6" t="s">
        <v>144</v>
      </c>
      <c r="B161">
        <f>B5/B119</f>
        <v>1.3407099060404397</v>
      </c>
      <c r="C161">
        <f t="shared" ref="C161:S161" si="51">C5/C119</f>
        <v>1.2640151189460891</v>
      </c>
      <c r="D161">
        <f t="shared" si="51"/>
        <v>1.4708870093122</v>
      </c>
      <c r="E161">
        <f t="shared" si="51"/>
        <v>1.5289431188779539</v>
      </c>
      <c r="F161">
        <f t="shared" si="51"/>
        <v>1.551711788438416</v>
      </c>
      <c r="G161">
        <f t="shared" si="51"/>
        <v>1.4133770100274292</v>
      </c>
      <c r="H161">
        <f t="shared" si="51"/>
        <v>1.5335518010255669</v>
      </c>
      <c r="I161">
        <f t="shared" si="51"/>
        <v>1.5241844077477231</v>
      </c>
      <c r="J161">
        <f t="shared" si="51"/>
        <v>1.6701402819157836</v>
      </c>
      <c r="K161">
        <f t="shared" si="51"/>
        <v>1.6993623380552563</v>
      </c>
      <c r="L161">
        <f t="shared" si="51"/>
        <v>1.9555761579893354</v>
      </c>
      <c r="M161">
        <f t="shared" si="51"/>
        <v>1.9561557402729435</v>
      </c>
      <c r="N161">
        <f t="shared" si="51"/>
        <v>1.3944902203477567</v>
      </c>
      <c r="O161">
        <f t="shared" si="51"/>
        <v>1.8860088790804725</v>
      </c>
      <c r="P161">
        <f t="shared" si="51"/>
        <v>1.9116769434364158</v>
      </c>
      <c r="Q161">
        <f t="shared" si="51"/>
        <v>1.7858162109529341</v>
      </c>
      <c r="R161">
        <f t="shared" si="51"/>
        <v>1.126323946146683</v>
      </c>
      <c r="S161">
        <f t="shared" si="51"/>
        <v>1.2965587031591079</v>
      </c>
    </row>
    <row r="162" spans="1:19" x14ac:dyDescent="0.3">
      <c r="A162" s="6" t="s">
        <v>145</v>
      </c>
      <c r="B162">
        <f>(B42+B118)/B119</f>
        <v>0.2796990150919253</v>
      </c>
      <c r="C162">
        <f t="shared" ref="C162:S162" si="52">(C42+C118)/C119</f>
        <v>0.35505548958413213</v>
      </c>
      <c r="D162">
        <f t="shared" si="52"/>
        <v>0.33865049397774205</v>
      </c>
      <c r="E162">
        <f t="shared" si="52"/>
        <v>0.61532530784807848</v>
      </c>
      <c r="F162">
        <f t="shared" si="52"/>
        <v>0.42314334464375364</v>
      </c>
      <c r="G162">
        <f t="shared" si="52"/>
        <v>0.24048166353626266</v>
      </c>
      <c r="H162">
        <f t="shared" si="52"/>
        <v>0.50046855308359617</v>
      </c>
      <c r="I162">
        <f t="shared" si="52"/>
        <v>0.56063194281980333</v>
      </c>
      <c r="J162">
        <f t="shared" si="52"/>
        <v>1.1805271598700098</v>
      </c>
      <c r="K162">
        <f t="shared" si="52"/>
        <v>0.21202661132169523</v>
      </c>
      <c r="L162">
        <f t="shared" si="52"/>
        <v>0.26063782442288463</v>
      </c>
      <c r="M162">
        <f t="shared" si="52"/>
        <v>0.40274830841549919</v>
      </c>
      <c r="N162">
        <f t="shared" si="52"/>
        <v>0.33828462595097952</v>
      </c>
      <c r="O162">
        <f t="shared" si="52"/>
        <v>0.42869083977629013</v>
      </c>
      <c r="P162">
        <f t="shared" si="52"/>
        <v>0.67277333809644502</v>
      </c>
      <c r="Q162">
        <f t="shared" si="52"/>
        <v>0.13635170448713699</v>
      </c>
      <c r="R162">
        <f t="shared" si="52"/>
        <v>0.15024843180909719</v>
      </c>
      <c r="S162">
        <f t="shared" si="52"/>
        <v>7.0057848706726961E-2</v>
      </c>
    </row>
    <row r="163" spans="1:19" x14ac:dyDescent="0.3">
      <c r="A163" s="6" t="s">
        <v>146</v>
      </c>
      <c r="B163">
        <f>B42/(B119-B120)</f>
        <v>-2.4428286612745582</v>
      </c>
      <c r="C163">
        <f t="shared" ref="C163:S163" si="53">C42/(C119-C120)</f>
        <v>-6.5043111734850818</v>
      </c>
      <c r="D163">
        <f t="shared" si="53"/>
        <v>11.824251091374379</v>
      </c>
      <c r="E163">
        <f t="shared" si="53"/>
        <v>-0.88702252476428767</v>
      </c>
      <c r="F163">
        <f t="shared" si="53"/>
        <v>-0.66502991598346806</v>
      </c>
      <c r="G163">
        <f t="shared" si="53"/>
        <v>-0.34828558287271766</v>
      </c>
      <c r="H163">
        <f t="shared" si="53"/>
        <v>-0.29505361011456521</v>
      </c>
      <c r="I163">
        <f t="shared" si="53"/>
        <v>-0.32922585512704733</v>
      </c>
      <c r="J163">
        <f t="shared" si="53"/>
        <v>-0.27776920756372814</v>
      </c>
      <c r="K163">
        <f t="shared" si="53"/>
        <v>-0.46373380744620396</v>
      </c>
      <c r="L163">
        <f t="shared" si="53"/>
        <v>-0.55973643587671851</v>
      </c>
      <c r="M163">
        <f t="shared" si="53"/>
        <v>-0.48451620263740525</v>
      </c>
      <c r="N163">
        <f t="shared" si="53"/>
        <v>-0.68648981298918565</v>
      </c>
      <c r="O163">
        <f t="shared" si="53"/>
        <v>-0.53639500192514933</v>
      </c>
      <c r="P163">
        <f t="shared" si="53"/>
        <v>-1.0941887960334911</v>
      </c>
      <c r="Q163">
        <f t="shared" si="53"/>
        <v>-0.60592826105822306</v>
      </c>
      <c r="R163">
        <f t="shared" si="53"/>
        <v>1.5744512566106612</v>
      </c>
      <c r="S163">
        <f t="shared" si="53"/>
        <v>-40.302108876900441</v>
      </c>
    </row>
    <row r="164" spans="1:19" s="8" customFormat="1" x14ac:dyDescent="0.3">
      <c r="A164" s="9" t="s">
        <v>149</v>
      </c>
      <c r="B164" s="8">
        <f>(B116-C116)/C116</f>
        <v>0</v>
      </c>
      <c r="C164" s="8">
        <f t="shared" ref="C164:R164" si="54">(C116-D116)/D116</f>
        <v>1.3615733736762569E-2</v>
      </c>
      <c r="D164" s="8">
        <f t="shared" si="54"/>
        <v>0.22862453531598509</v>
      </c>
      <c r="E164" s="8">
        <f t="shared" si="54"/>
        <v>-0.27297297297297302</v>
      </c>
      <c r="F164" s="8">
        <f t="shared" si="54"/>
        <v>-8.1885856079404407E-2</v>
      </c>
      <c r="G164" s="8">
        <f t="shared" si="54"/>
        <v>-4.5023696682464587E-2</v>
      </c>
      <c r="H164" s="8">
        <f t="shared" si="54"/>
        <v>-2.5404157043879778E-2</v>
      </c>
      <c r="I164" s="8">
        <f t="shared" si="54"/>
        <v>0.24783861671469723</v>
      </c>
      <c r="J164" s="8">
        <f t="shared" si="54"/>
        <v>0.3935742971887552</v>
      </c>
      <c r="K164" s="8">
        <f t="shared" si="54"/>
        <v>0.14746543778801841</v>
      </c>
      <c r="L164" s="8">
        <f t="shared" si="54"/>
        <v>-0.38873239436619722</v>
      </c>
      <c r="M164" s="8">
        <f t="shared" si="54"/>
        <v>1.3051948051948052</v>
      </c>
      <c r="N164" s="8">
        <f t="shared" si="54"/>
        <v>9.8360655737705152E-3</v>
      </c>
      <c r="O164" s="8">
        <f t="shared" si="54"/>
        <v>-0.12356321839080453</v>
      </c>
      <c r="P164" s="8">
        <f t="shared" si="54"/>
        <v>2.3529411764705799E-2</v>
      </c>
      <c r="Q164" s="8">
        <f t="shared" si="54"/>
        <v>9.3247588424437255E-2</v>
      </c>
      <c r="R164" s="8">
        <f t="shared" si="54"/>
        <v>0.2591093117408908</v>
      </c>
      <c r="S164" s="8">
        <v>0</v>
      </c>
    </row>
    <row r="165" spans="1:19" x14ac:dyDescent="0.3">
      <c r="A165" s="6" t="s">
        <v>150</v>
      </c>
      <c r="B165">
        <f>B5/B3</f>
        <v>0.91167844506195694</v>
      </c>
      <c r="C165">
        <f t="shared" ref="C165:S165" si="55">C5/C3</f>
        <v>0.91125850170610012</v>
      </c>
      <c r="D165">
        <f t="shared" si="55"/>
        <v>0.92159938708214006</v>
      </c>
      <c r="E165">
        <f t="shared" si="55"/>
        <v>0.90164860535661806</v>
      </c>
      <c r="F165">
        <f t="shared" si="55"/>
        <v>0.90093523403355402</v>
      </c>
      <c r="G165">
        <f t="shared" si="55"/>
        <v>0.89312400557562743</v>
      </c>
      <c r="H165">
        <f t="shared" si="55"/>
        <v>0.87979219546984255</v>
      </c>
      <c r="I165">
        <f t="shared" si="55"/>
        <v>0.86015400348160997</v>
      </c>
      <c r="J165">
        <f t="shared" si="55"/>
        <v>0.88236710037257693</v>
      </c>
      <c r="K165">
        <f t="shared" si="55"/>
        <v>0.91168820159087571</v>
      </c>
      <c r="L165">
        <f t="shared" si="55"/>
        <v>0.91407818635240257</v>
      </c>
      <c r="M165">
        <f t="shared" si="55"/>
        <v>0.90576932077418848</v>
      </c>
      <c r="N165">
        <f t="shared" si="55"/>
        <v>0.90035258213499425</v>
      </c>
      <c r="O165">
        <f t="shared" si="55"/>
        <v>0.90750503597484944</v>
      </c>
      <c r="P165">
        <f t="shared" si="55"/>
        <v>0.90008036555421611</v>
      </c>
      <c r="Q165">
        <f t="shared" si="55"/>
        <v>0.88187176209378992</v>
      </c>
      <c r="R165">
        <f t="shared" si="55"/>
        <v>0.85445653076194628</v>
      </c>
      <c r="S165">
        <f t="shared" si="55"/>
        <v>0.87365078015561459</v>
      </c>
    </row>
    <row r="166" spans="1:19" x14ac:dyDescent="0.3">
      <c r="A166" s="6" t="s">
        <v>154</v>
      </c>
      <c r="B166">
        <f>B24/B5</f>
        <v>0.17889327289474499</v>
      </c>
      <c r="C166">
        <f>C24/C5</f>
        <v>0.13077808250322842</v>
      </c>
      <c r="D166">
        <f t="shared" ref="D166:S166" si="56">D24/D5</f>
        <v>0.15747524932397516</v>
      </c>
      <c r="E166">
        <f t="shared" si="56"/>
        <v>0.12784203161652666</v>
      </c>
      <c r="F166">
        <f t="shared" si="56"/>
        <v>8.6471006096955905E-2</v>
      </c>
      <c r="G166">
        <f t="shared" si="56"/>
        <v>9.3851344600922801E-2</v>
      </c>
      <c r="H166">
        <f t="shared" si="56"/>
        <v>0.12914170063466049</v>
      </c>
      <c r="I166">
        <f t="shared" si="56"/>
        <v>0.16823300083603981</v>
      </c>
      <c r="J166">
        <f t="shared" si="56"/>
        <v>0.1396774894013238</v>
      </c>
      <c r="K166">
        <f t="shared" si="56"/>
        <v>9.4832614197128365E-2</v>
      </c>
      <c r="L166">
        <f t="shared" si="56"/>
        <v>0.13271533341148695</v>
      </c>
      <c r="M166">
        <f t="shared" si="56"/>
        <v>0.10522530975105852</v>
      </c>
      <c r="N166">
        <f t="shared" si="56"/>
        <v>0.1265624497685334</v>
      </c>
      <c r="O166">
        <f t="shared" si="56"/>
        <v>9.6324058310722049E-2</v>
      </c>
      <c r="P166">
        <f t="shared" si="56"/>
        <v>0.22945919333124251</v>
      </c>
      <c r="Q166">
        <f t="shared" si="56"/>
        <v>8.8195397054762013E-4</v>
      </c>
      <c r="R166">
        <f t="shared" si="56"/>
        <v>2.1176577884047282E-2</v>
      </c>
      <c r="S166">
        <f t="shared" si="56"/>
        <v>0.15775047687807112</v>
      </c>
    </row>
    <row r="167" spans="1:19" x14ac:dyDescent="0.3">
      <c r="A167" s="6" t="s">
        <v>156</v>
      </c>
      <c r="B167">
        <f>B24/B50</f>
        <v>8.3410737932165274E-2</v>
      </c>
      <c r="C167">
        <f t="shared" ref="C167:S167" si="57">C24/C50</f>
        <v>6.6862567245360577E-2</v>
      </c>
      <c r="D167">
        <f t="shared" si="57"/>
        <v>8.481591942487654E-2</v>
      </c>
      <c r="E167">
        <f t="shared" si="57"/>
        <v>5.5859388488121463E-2</v>
      </c>
      <c r="F167">
        <f t="shared" si="57"/>
        <v>4.5441140850786606E-2</v>
      </c>
      <c r="G167">
        <f t="shared" si="57"/>
        <v>4.8838884333559658E-2</v>
      </c>
      <c r="H167">
        <f t="shared" si="57"/>
        <v>6.6960552653545627E-2</v>
      </c>
      <c r="I167">
        <f t="shared" si="57"/>
        <v>7.3632271067079522E-2</v>
      </c>
      <c r="J167">
        <f t="shared" si="57"/>
        <v>7.2800421652937319E-2</v>
      </c>
      <c r="K167">
        <f t="shared" si="57"/>
        <v>5.2511997575367883E-2</v>
      </c>
      <c r="L167">
        <f t="shared" si="57"/>
        <v>6.5540500338577112E-2</v>
      </c>
      <c r="M167">
        <f t="shared" si="57"/>
        <v>4.8799554699017145E-2</v>
      </c>
      <c r="N167">
        <f t="shared" si="57"/>
        <v>5.1465838365951949E-2</v>
      </c>
      <c r="O167">
        <f t="shared" si="57"/>
        <v>4.5017509369048352E-2</v>
      </c>
      <c r="P167">
        <f t="shared" si="57"/>
        <v>9.9110559550301028E-2</v>
      </c>
      <c r="Q167">
        <f t="shared" si="57"/>
        <v>3.9140471631396976E-4</v>
      </c>
      <c r="R167">
        <f t="shared" si="57"/>
        <v>6.0031485477169098E-3</v>
      </c>
      <c r="S167">
        <f t="shared" si="57"/>
        <v>5.5883103462291951E-2</v>
      </c>
    </row>
    <row r="168" spans="1:19" x14ac:dyDescent="0.3">
      <c r="A168" s="6" t="s">
        <v>157</v>
      </c>
      <c r="B168">
        <f>B24/B43</f>
        <v>2.1836027925392597E-2</v>
      </c>
      <c r="C168">
        <f t="shared" ref="C168:S168" si="58">C24/C43</f>
        <v>1.6487481670365831E-2</v>
      </c>
      <c r="D168">
        <f t="shared" si="58"/>
        <v>2.2027517177735271E-2</v>
      </c>
      <c r="E168">
        <f t="shared" si="58"/>
        <v>1.4146456942383716E-2</v>
      </c>
      <c r="F168">
        <f t="shared" si="58"/>
        <v>1.0570424762450768E-2</v>
      </c>
      <c r="G168">
        <f t="shared" si="58"/>
        <v>1.0590035664705786E-2</v>
      </c>
      <c r="H168">
        <f t="shared" si="58"/>
        <v>1.5089782461544845E-2</v>
      </c>
      <c r="I168">
        <f t="shared" si="58"/>
        <v>1.6163574232137632E-2</v>
      </c>
      <c r="J168">
        <f t="shared" si="58"/>
        <v>1.5121502539778389E-2</v>
      </c>
      <c r="K168">
        <f t="shared" si="58"/>
        <v>1.1934386395875532E-2</v>
      </c>
      <c r="L168">
        <f t="shared" si="58"/>
        <v>1.763866732317107E-2</v>
      </c>
      <c r="M168">
        <f t="shared" si="58"/>
        <v>1.3116536591632777E-2</v>
      </c>
      <c r="N168">
        <f t="shared" si="58"/>
        <v>1.3876570868318814E-2</v>
      </c>
      <c r="O168">
        <f t="shared" si="58"/>
        <v>1.2109283988053937E-2</v>
      </c>
      <c r="P168">
        <f t="shared" si="58"/>
        <v>2.9656718946659423E-2</v>
      </c>
      <c r="Q168">
        <f t="shared" si="58"/>
        <v>1.2183669021286008E-4</v>
      </c>
      <c r="R168">
        <f t="shared" si="58"/>
        <v>2.0496175153892097E-3</v>
      </c>
      <c r="S168">
        <f t="shared" si="58"/>
        <v>1.9340200266678823E-2</v>
      </c>
    </row>
    <row r="169" spans="1:19" x14ac:dyDescent="0.3">
      <c r="A169" s="6" t="s">
        <v>158</v>
      </c>
      <c r="B169">
        <f>B24/(B34+B119-B120)</f>
        <v>8.6315188837690027</v>
      </c>
      <c r="C169">
        <f t="shared" ref="C169:S169" si="59">C24/(C34+C119-C120)</f>
        <v>1.6764892461608862</v>
      </c>
      <c r="D169">
        <f t="shared" si="59"/>
        <v>1.4128423632826896</v>
      </c>
      <c r="E169">
        <f t="shared" si="59"/>
        <v>-1.3407990720305647</v>
      </c>
      <c r="F169">
        <f t="shared" si="59"/>
        <v>-0.4645873836608066</v>
      </c>
      <c r="G169">
        <f t="shared" si="59"/>
        <v>-0.25047147271749537</v>
      </c>
      <c r="H169">
        <f t="shared" si="59"/>
        <v>-0.37753050083174661</v>
      </c>
      <c r="I169">
        <f t="shared" si="59"/>
        <v>-0.31974194240648096</v>
      </c>
      <c r="J169">
        <f t="shared" si="59"/>
        <v>-0.39517717859737739</v>
      </c>
      <c r="K169">
        <f t="shared" si="59"/>
        <v>-0.61172996716818595</v>
      </c>
      <c r="L169">
        <f t="shared" si="59"/>
        <v>-1.1062101791529646</v>
      </c>
      <c r="M169">
        <f t="shared" si="59"/>
        <v>-0.87283559792274312</v>
      </c>
      <c r="N169">
        <f t="shared" si="59"/>
        <v>-2.2820570879959425</v>
      </c>
      <c r="O169">
        <f t="shared" si="59"/>
        <v>-1.4505096973182079</v>
      </c>
      <c r="P169">
        <f t="shared" si="59"/>
        <v>6.3828668835798457</v>
      </c>
      <c r="Q169">
        <f t="shared" si="59"/>
        <v>2.0354501702077709E-2</v>
      </c>
      <c r="R169">
        <f t="shared" si="59"/>
        <v>5.96119779835848E-2</v>
      </c>
      <c r="S169">
        <f t="shared" si="59"/>
        <v>0.68124936109312706</v>
      </c>
    </row>
    <row r="170" spans="1:19" x14ac:dyDescent="0.3">
      <c r="A170" s="6" t="s">
        <v>159</v>
      </c>
      <c r="B170">
        <f>(B22-B20)/B3</f>
        <v>0.25526854334408783</v>
      </c>
      <c r="C170">
        <f t="shared" ref="C170:S170" si="60">(C22-C20)/C3</f>
        <v>0.22302953847691701</v>
      </c>
      <c r="D170">
        <f t="shared" si="60"/>
        <v>0.1183058519154004</v>
      </c>
      <c r="E170">
        <f t="shared" si="60"/>
        <v>0.16577267926674383</v>
      </c>
      <c r="F170">
        <f t="shared" si="60"/>
        <v>0.16892832359214707</v>
      </c>
      <c r="G170">
        <f t="shared" si="60"/>
        <v>0.23775886781746136</v>
      </c>
      <c r="H170">
        <f t="shared" si="60"/>
        <v>0.23482973090436951</v>
      </c>
      <c r="I170">
        <f t="shared" si="60"/>
        <v>0.24388057815895786</v>
      </c>
      <c r="J170">
        <f t="shared" si="60"/>
        <v>-3.469206820846097E-2</v>
      </c>
      <c r="K170">
        <f t="shared" si="60"/>
        <v>-0.10916714395695358</v>
      </c>
      <c r="L170">
        <f t="shared" si="60"/>
        <v>0.172514543212544</v>
      </c>
      <c r="M170">
        <f t="shared" si="60"/>
        <v>0.13941905377616209</v>
      </c>
      <c r="N170">
        <f t="shared" si="60"/>
        <v>0.16319383514930921</v>
      </c>
      <c r="O170">
        <f t="shared" si="60"/>
        <v>0.15180426623887922</v>
      </c>
      <c r="P170">
        <f t="shared" si="60"/>
        <v>0.28965763267237277</v>
      </c>
      <c r="Q170">
        <f t="shared" si="60"/>
        <v>1.646504743322344E-2</v>
      </c>
      <c r="R170">
        <f t="shared" si="60"/>
        <v>6.0952648778314425E-2</v>
      </c>
      <c r="S170">
        <f t="shared" si="60"/>
        <v>0.19188585310733813</v>
      </c>
    </row>
    <row r="171" spans="1:19" x14ac:dyDescent="0.3">
      <c r="A171" s="6" t="s">
        <v>160</v>
      </c>
      <c r="B171">
        <f>(B22-B20)/(B43-B120)</f>
        <v>3.8029384842223186E-2</v>
      </c>
      <c r="C171">
        <f t="shared" ref="C171:S171" si="61">(C22-C20)/(C43-C120)</f>
        <v>3.4428251595827158E-2</v>
      </c>
      <c r="D171">
        <f t="shared" si="61"/>
        <v>1.9803751736918222E-2</v>
      </c>
      <c r="E171">
        <f t="shared" si="61"/>
        <v>2.2506925509465724E-2</v>
      </c>
      <c r="F171">
        <f t="shared" si="61"/>
        <v>2.5899161871374581E-2</v>
      </c>
      <c r="G171">
        <f t="shared" si="61"/>
        <v>3.472529975212426E-2</v>
      </c>
      <c r="H171">
        <f t="shared" si="61"/>
        <v>3.5773230332617187E-2</v>
      </c>
      <c r="I171">
        <f t="shared" si="61"/>
        <v>3.1160487203614667E-2</v>
      </c>
      <c r="J171">
        <f t="shared" si="61"/>
        <v>-4.814729252083573E-3</v>
      </c>
      <c r="K171">
        <f t="shared" si="61"/>
        <v>-1.6892019527129994E-2</v>
      </c>
      <c r="L171">
        <f t="shared" si="61"/>
        <v>2.7858380571501095E-2</v>
      </c>
      <c r="M171">
        <f t="shared" si="61"/>
        <v>2.1198100185058071E-2</v>
      </c>
      <c r="N171">
        <f t="shared" si="61"/>
        <v>2.2122411426561576E-2</v>
      </c>
      <c r="O171">
        <f t="shared" si="61"/>
        <v>2.320334711549429E-2</v>
      </c>
      <c r="P171">
        <f t="shared" si="61"/>
        <v>4.5351185697207794E-2</v>
      </c>
      <c r="Q171">
        <f t="shared" si="61"/>
        <v>2.8492316144400035E-3</v>
      </c>
      <c r="R171">
        <f t="shared" si="61"/>
        <v>7.4862136801141007E-3</v>
      </c>
      <c r="S171">
        <f t="shared" si="61"/>
        <v>2.97449722376994E-2</v>
      </c>
    </row>
    <row r="172" spans="1:19" x14ac:dyDescent="0.3">
      <c r="A172" s="6" t="s">
        <v>161</v>
      </c>
      <c r="B172">
        <f>B123/B24</f>
        <v>0.26079020784220791</v>
      </c>
      <c r="C172">
        <f t="shared" ref="C172:S172" si="62">C123/C24</f>
        <v>1.372927778747512</v>
      </c>
      <c r="D172">
        <f t="shared" si="62"/>
        <v>0.14316815223542728</v>
      </c>
      <c r="E172">
        <f t="shared" si="62"/>
        <v>0.40914379528177308</v>
      </c>
      <c r="F172">
        <f t="shared" si="62"/>
        <v>0.83263390534078074</v>
      </c>
      <c r="G172">
        <f t="shared" si="62"/>
        <v>1.4785681250946903</v>
      </c>
      <c r="H172">
        <f t="shared" si="62"/>
        <v>1.4212183936147857</v>
      </c>
      <c r="I172">
        <f t="shared" si="62"/>
        <v>1.0455084105876924</v>
      </c>
      <c r="J172">
        <f t="shared" si="62"/>
        <v>-0.67560072732014398</v>
      </c>
      <c r="K172">
        <f t="shared" si="62"/>
        <v>1.0244217424058226</v>
      </c>
      <c r="L172">
        <f t="shared" si="62"/>
        <v>1.8679310806935736</v>
      </c>
      <c r="M172">
        <f t="shared" si="62"/>
        <v>1.9019169563427865</v>
      </c>
      <c r="N172">
        <f t="shared" si="62"/>
        <v>1.8394676107374826</v>
      </c>
      <c r="O172">
        <f t="shared" si="62"/>
        <v>2.2665244280421528</v>
      </c>
      <c r="P172">
        <f t="shared" si="62"/>
        <v>1.8402019929182656</v>
      </c>
      <c r="Q172">
        <f t="shared" si="62"/>
        <v>81.628892733564015</v>
      </c>
      <c r="R172">
        <f t="shared" si="62"/>
        <v>6.9863870424117591</v>
      </c>
      <c r="S172">
        <f t="shared" si="62"/>
        <v>1.8400035012911011</v>
      </c>
    </row>
    <row r="173" spans="1:19" x14ac:dyDescent="0.3">
      <c r="A173" s="6" t="s">
        <v>162</v>
      </c>
      <c r="B173">
        <f>(B22-B20)/B5</f>
        <v>0.27999844103667493</v>
      </c>
      <c r="C173">
        <f t="shared" ref="C173:S173" si="63">(C22-C20)/C5</f>
        <v>0.24474892476651888</v>
      </c>
      <c r="D173">
        <f t="shared" si="63"/>
        <v>0.1283701503860224</v>
      </c>
      <c r="E173">
        <f t="shared" si="63"/>
        <v>0.18385508310211138</v>
      </c>
      <c r="F173">
        <f t="shared" si="63"/>
        <v>0.18750329347853609</v>
      </c>
      <c r="G173">
        <f t="shared" si="63"/>
        <v>0.26621036533915959</v>
      </c>
      <c r="H173">
        <f t="shared" si="63"/>
        <v>0.26691499664754526</v>
      </c>
      <c r="I173">
        <f t="shared" si="63"/>
        <v>0.28353129459586596</v>
      </c>
      <c r="J173">
        <f t="shared" si="63"/>
        <v>-3.9317046378783096E-2</v>
      </c>
      <c r="K173">
        <f t="shared" si="63"/>
        <v>-0.11974175355835398</v>
      </c>
      <c r="L173">
        <f t="shared" si="63"/>
        <v>0.18873062040891417</v>
      </c>
      <c r="M173">
        <f t="shared" si="63"/>
        <v>0.15392335617748285</v>
      </c>
      <c r="N173">
        <f t="shared" si="63"/>
        <v>0.18125547522985919</v>
      </c>
      <c r="O173">
        <f t="shared" si="63"/>
        <v>0.16727650009766593</v>
      </c>
      <c r="P173">
        <f t="shared" si="63"/>
        <v>0.32181307776224938</v>
      </c>
      <c r="Q173">
        <f t="shared" si="63"/>
        <v>1.8670568829793566E-2</v>
      </c>
      <c r="R173">
        <f t="shared" si="63"/>
        <v>7.1334990820376781E-2</v>
      </c>
      <c r="S173">
        <f t="shared" si="63"/>
        <v>0.21963679019797755</v>
      </c>
    </row>
    <row r="174" spans="1:19" x14ac:dyDescent="0.3">
      <c r="A174" s="6" t="s">
        <v>163</v>
      </c>
      <c r="B174">
        <f>B24/(B57+B121+B54)</f>
        <v>0.23213845361675473</v>
      </c>
      <c r="C174">
        <f t="shared" ref="C174:S174" si="64">C24/(C57+C121+C54)</f>
        <v>0.16380581745505171</v>
      </c>
      <c r="D174">
        <f t="shared" si="64"/>
        <v>0.20824519339440972</v>
      </c>
      <c r="E174">
        <f t="shared" si="64"/>
        <v>0.12473139724183308</v>
      </c>
      <c r="F174">
        <f t="shared" si="64"/>
        <v>9.6501232917606511E-2</v>
      </c>
      <c r="G174">
        <f t="shared" si="64"/>
        <v>8.8531814234544648E-2</v>
      </c>
      <c r="H174">
        <f t="shared" si="64"/>
        <v>0.12153145521563864</v>
      </c>
      <c r="I174">
        <f t="shared" si="64"/>
        <v>0.12763144339394289</v>
      </c>
      <c r="J174">
        <f t="shared" si="64"/>
        <v>0.11705431441108874</v>
      </c>
      <c r="K174">
        <f t="shared" si="64"/>
        <v>0.10168466407563963</v>
      </c>
      <c r="L174">
        <f t="shared" si="64"/>
        <v>0.20598845941501581</v>
      </c>
      <c r="M174">
        <f t="shared" si="64"/>
        <v>0.14293873425979725</v>
      </c>
      <c r="N174">
        <f t="shared" si="64"/>
        <v>0.13491262433282214</v>
      </c>
      <c r="O174">
        <f t="shared" si="64"/>
        <v>0.1235800022269235</v>
      </c>
      <c r="P174">
        <f t="shared" si="64"/>
        <v>2.3400188786509073</v>
      </c>
      <c r="Q174">
        <f t="shared" si="64"/>
        <v>1.6775686863519775E-2</v>
      </c>
      <c r="R174">
        <f t="shared" si="64"/>
        <v>0.34325564205773418</v>
      </c>
      <c r="S174">
        <f t="shared" si="64"/>
        <v>0.83114478296737204</v>
      </c>
    </row>
    <row r="175" spans="1:19" x14ac:dyDescent="0.3">
      <c r="A175" s="6" t="s">
        <v>164</v>
      </c>
      <c r="B175">
        <f>B130/B5</f>
        <v>0.17814681507362828</v>
      </c>
      <c r="C175">
        <f t="shared" ref="C175:S175" si="65">C130/C5</f>
        <v>0.28358112001387425</v>
      </c>
      <c r="D175">
        <f t="shared" si="65"/>
        <v>4.9622638960892841E-2</v>
      </c>
      <c r="E175">
        <f t="shared" si="65"/>
        <v>6.0245585916105258E-2</v>
      </c>
      <c r="F175">
        <f t="shared" si="65"/>
        <v>2.3253840452607786E-2</v>
      </c>
      <c r="G175">
        <f t="shared" si="65"/>
        <v>0.16142432768082954</v>
      </c>
      <c r="H175">
        <f t="shared" si="65"/>
        <v>-4.6291014357020467E-2</v>
      </c>
      <c r="I175">
        <f t="shared" si="65"/>
        <v>0.42210241410633609</v>
      </c>
      <c r="J175">
        <f t="shared" si="65"/>
        <v>0.41687883581618962</v>
      </c>
      <c r="K175">
        <f t="shared" si="65"/>
        <v>0.25927950301167818</v>
      </c>
      <c r="L175">
        <f t="shared" si="65"/>
        <v>0.37578501818409915</v>
      </c>
      <c r="M175">
        <f t="shared" si="65"/>
        <v>0.45421228850008188</v>
      </c>
      <c r="N175">
        <f t="shared" si="65"/>
        <v>0.24865907099916415</v>
      </c>
      <c r="O175">
        <f t="shared" si="65"/>
        <v>0.44211072260748574</v>
      </c>
      <c r="P175">
        <f t="shared" si="65"/>
        <v>0.55523729814291245</v>
      </c>
      <c r="Q175">
        <f t="shared" si="65"/>
        <v>0.51554660038279043</v>
      </c>
      <c r="R175">
        <f t="shared" si="65"/>
        <v>0.56577328908080848</v>
      </c>
      <c r="S175">
        <f t="shared" si="65"/>
        <v>1.0592111276152678</v>
      </c>
    </row>
    <row r="176" spans="1:19" x14ac:dyDescent="0.3">
      <c r="A176" s="6" t="s">
        <v>165</v>
      </c>
      <c r="B176">
        <f>B24*2/(B50+C50)</f>
        <v>8.8476755883920011E-2</v>
      </c>
      <c r="C176">
        <f t="shared" ref="C176:S176" si="66">C24*2/(C50+D50)</f>
        <v>6.5410892694129877E-2</v>
      </c>
      <c r="D176">
        <f t="shared" si="66"/>
        <v>8.7416707136290808E-2</v>
      </c>
      <c r="E176">
        <f t="shared" si="66"/>
        <v>5.9205906771246368E-2</v>
      </c>
      <c r="F176">
        <f t="shared" si="66"/>
        <v>4.72489726838035E-2</v>
      </c>
      <c r="G176">
        <f t="shared" si="66"/>
        <v>4.7449116697248779E-2</v>
      </c>
      <c r="H176">
        <f t="shared" si="66"/>
        <v>6.8577344384473271E-2</v>
      </c>
      <c r="I176">
        <f t="shared" si="66"/>
        <v>7.6896035048192826E-2</v>
      </c>
      <c r="J176">
        <f t="shared" si="66"/>
        <v>7.2515580571953828E-2</v>
      </c>
      <c r="K176">
        <f t="shared" si="66"/>
        <v>4.981866781733281E-2</v>
      </c>
      <c r="L176">
        <f t="shared" si="66"/>
        <v>6.7227507002996498E-2</v>
      </c>
      <c r="M176">
        <f t="shared" si="66"/>
        <v>4.9452877824503839E-2</v>
      </c>
      <c r="N176">
        <f t="shared" si="66"/>
        <v>5.2941836807539486E-2</v>
      </c>
      <c r="O176">
        <f t="shared" si="66"/>
        <v>4.3396001258081775E-2</v>
      </c>
      <c r="P176">
        <f t="shared" si="66"/>
        <v>0.10478329612189752</v>
      </c>
      <c r="Q176">
        <f t="shared" si="66"/>
        <v>3.9061622243363704E-4</v>
      </c>
      <c r="R176">
        <f t="shared" si="66"/>
        <v>6.1095884330464381E-3</v>
      </c>
      <c r="S176">
        <f t="shared" si="66"/>
        <v>0.1117662069245839</v>
      </c>
    </row>
    <row r="177" spans="1:19" x14ac:dyDescent="0.3">
      <c r="A177" s="6" t="s">
        <v>166</v>
      </c>
      <c r="B177">
        <f>B24/B3</f>
        <v>0.16309314086472543</v>
      </c>
      <c r="C177">
        <f t="shared" ref="C177:S177" si="67">C24/C3</f>
        <v>0.11917263951788867</v>
      </c>
      <c r="D177">
        <f t="shared" si="67"/>
        <v>0.14512909325758272</v>
      </c>
      <c r="E177">
        <f t="shared" si="67"/>
        <v>0.11526858951299793</v>
      </c>
      <c r="F177">
        <f t="shared" si="67"/>
        <v>7.7904776115077845E-2</v>
      </c>
      <c r="G177">
        <f t="shared" si="67"/>
        <v>8.3820888818634712E-2</v>
      </c>
      <c r="H177">
        <f t="shared" si="67"/>
        <v>0.11361786032807709</v>
      </c>
      <c r="I177">
        <f t="shared" si="67"/>
        <v>0.14470628918684469</v>
      </c>
      <c r="J177">
        <f t="shared" si="67"/>
        <v>0.12324682131036742</v>
      </c>
      <c r="K177">
        <f t="shared" si="67"/>
        <v>8.6457775489541311E-2</v>
      </c>
      <c r="L177">
        <f t="shared" si="67"/>
        <v>0.12131219126592639</v>
      </c>
      <c r="M177">
        <f t="shared" si="67"/>
        <v>9.5309857341469864E-2</v>
      </c>
      <c r="N177">
        <f t="shared" si="67"/>
        <v>0.11395082845042956</v>
      </c>
      <c r="O177">
        <f t="shared" si="67"/>
        <v>8.7414568002515305E-2</v>
      </c>
      <c r="P177">
        <f t="shared" si="67"/>
        <v>0.20653171461336031</v>
      </c>
      <c r="Q177">
        <f t="shared" si="67"/>
        <v>7.7777030209244438E-4</v>
      </c>
      <c r="R177">
        <f t="shared" si="67"/>
        <v>1.8094465272213197E-2</v>
      </c>
      <c r="S177">
        <f t="shared" si="67"/>
        <v>0.13781882719444707</v>
      </c>
    </row>
    <row r="178" spans="1:19" x14ac:dyDescent="0.3">
      <c r="A178" s="6" t="s">
        <v>167</v>
      </c>
      <c r="B178">
        <f>B130/B43</f>
        <v>2.1744913969214814E-2</v>
      </c>
      <c r="C178">
        <f t="shared" ref="C178:S178" si="68">C130/C43</f>
        <v>3.5751698058236504E-2</v>
      </c>
      <c r="D178">
        <f t="shared" si="68"/>
        <v>6.9411767043267457E-3</v>
      </c>
      <c r="E178">
        <f t="shared" si="68"/>
        <v>6.666520989648342E-3</v>
      </c>
      <c r="F178">
        <f t="shared" si="68"/>
        <v>2.8426056552032864E-3</v>
      </c>
      <c r="G178">
        <f t="shared" si="68"/>
        <v>1.8214863032173643E-2</v>
      </c>
      <c r="H178">
        <f t="shared" si="68"/>
        <v>-5.4089525934600492E-3</v>
      </c>
      <c r="I178">
        <f t="shared" si="68"/>
        <v>4.0554966445743072E-2</v>
      </c>
      <c r="J178">
        <f t="shared" si="68"/>
        <v>4.5131355106634852E-2</v>
      </c>
      <c r="K178">
        <f t="shared" si="68"/>
        <v>3.2629510423911108E-2</v>
      </c>
      <c r="L178">
        <f t="shared" si="68"/>
        <v>4.99440927464634E-2</v>
      </c>
      <c r="M178">
        <f t="shared" si="68"/>
        <v>5.6618432547979797E-2</v>
      </c>
      <c r="N178">
        <f t="shared" si="68"/>
        <v>2.7263498984736866E-2</v>
      </c>
      <c r="O178">
        <f t="shared" si="68"/>
        <v>5.5579513447699666E-2</v>
      </c>
      <c r="P178">
        <f t="shared" si="68"/>
        <v>7.1762287057098556E-2</v>
      </c>
      <c r="Q178">
        <f t="shared" si="68"/>
        <v>7.1219693474626422E-2</v>
      </c>
      <c r="R178">
        <f t="shared" si="68"/>
        <v>5.4759501246561218E-2</v>
      </c>
      <c r="S178">
        <f t="shared" si="68"/>
        <v>0.12985922919654672</v>
      </c>
    </row>
    <row r="179" spans="1:19" x14ac:dyDescent="0.3">
      <c r="A179" s="6" t="s">
        <v>168</v>
      </c>
      <c r="B179">
        <f>B130/B117</f>
        <v>3.1935386666666665</v>
      </c>
      <c r="C179">
        <f t="shared" ref="C179:S179" si="69">C130/C117</f>
        <v>4.9359653333333338</v>
      </c>
      <c r="D179">
        <f t="shared" si="69"/>
        <v>0.95028266666666672</v>
      </c>
      <c r="E179">
        <f t="shared" si="69"/>
        <v>0.88026400000000005</v>
      </c>
      <c r="F179">
        <f t="shared" si="69"/>
        <v>0.36244266666666669</v>
      </c>
      <c r="G179">
        <f t="shared" si="69"/>
        <v>2.3008373333333334</v>
      </c>
      <c r="H179">
        <f t="shared" si="69"/>
        <v>-0.69592799999999999</v>
      </c>
      <c r="I179">
        <f t="shared" si="69"/>
        <v>5.1040320000000001</v>
      </c>
      <c r="J179">
        <f t="shared" si="69"/>
        <v>5.4932613333333338</v>
      </c>
      <c r="K179">
        <f t="shared" si="69"/>
        <v>3.6583093333333334</v>
      </c>
      <c r="L179">
        <f t="shared" si="69"/>
        <v>5.2399653333333331</v>
      </c>
      <c r="M179">
        <f t="shared" si="69"/>
        <v>5.6492719999999998</v>
      </c>
      <c r="N179">
        <f t="shared" si="69"/>
        <v>2.6401413333333332</v>
      </c>
      <c r="O179">
        <f t="shared" si="69"/>
        <v>5.0941200000000002</v>
      </c>
      <c r="P179">
        <f t="shared" si="69"/>
        <v>6.3545413333333336</v>
      </c>
      <c r="Q179">
        <f t="shared" si="69"/>
        <v>5.4059226666666671</v>
      </c>
      <c r="R179">
        <f t="shared" si="69"/>
        <v>3.8048479999999998</v>
      </c>
      <c r="S179">
        <f t="shared" si="69"/>
        <v>8.5913546666666658</v>
      </c>
    </row>
    <row r="180" spans="1:19" x14ac:dyDescent="0.3">
      <c r="A180" s="6" t="s">
        <v>169</v>
      </c>
      <c r="B180">
        <f>B3/B42</f>
        <v>5.3445907696946549</v>
      </c>
      <c r="C180">
        <f t="shared" ref="C180:S180" si="70">C3/C42</f>
        <v>5.2928088328420699</v>
      </c>
      <c r="D180">
        <f t="shared" si="70"/>
        <v>7.085917799648807</v>
      </c>
      <c r="E180">
        <f t="shared" si="70"/>
        <v>5.8381767892637928</v>
      </c>
      <c r="F180">
        <f t="shared" si="70"/>
        <v>5.6334280114725246</v>
      </c>
      <c r="G180">
        <f t="shared" si="70"/>
        <v>6.5805818111444898</v>
      </c>
      <c r="H180">
        <f t="shared" si="70"/>
        <v>8.6600404895505605</v>
      </c>
      <c r="I180">
        <f t="shared" si="70"/>
        <v>5.4077304597141085</v>
      </c>
      <c r="J180">
        <f t="shared" si="70"/>
        <v>8.6393276973866904</v>
      </c>
      <c r="K180">
        <f t="shared" si="70"/>
        <v>8.7912227072912845</v>
      </c>
      <c r="L180">
        <f t="shared" si="70"/>
        <v>8.2083137232393959</v>
      </c>
      <c r="M180">
        <f t="shared" si="70"/>
        <v>9.1164804464328402</v>
      </c>
      <c r="N180">
        <f t="shared" si="70"/>
        <v>7.697679154866325</v>
      </c>
      <c r="O180">
        <f t="shared" si="70"/>
        <v>9.546562430449594</v>
      </c>
      <c r="P180">
        <f t="shared" si="70"/>
        <v>8.6012605481616706</v>
      </c>
      <c r="Q180">
        <f t="shared" si="70"/>
        <v>14.851514828532601</v>
      </c>
      <c r="R180">
        <f t="shared" si="70"/>
        <v>8.7733084036585982</v>
      </c>
      <c r="S180">
        <f t="shared" si="70"/>
        <v>21.18349031347352</v>
      </c>
    </row>
    <row r="181" spans="1:19" x14ac:dyDescent="0.3">
      <c r="A181" s="6" t="s">
        <v>170</v>
      </c>
      <c r="B181">
        <f>B58/B50</f>
        <v>2.8198677074949567</v>
      </c>
      <c r="C181">
        <f t="shared" ref="C181:S181" si="71">C58/C50</f>
        <v>3.0553535453226681</v>
      </c>
      <c r="D181">
        <f t="shared" si="71"/>
        <v>2.8504529920696577</v>
      </c>
      <c r="E181">
        <f t="shared" si="71"/>
        <v>2.9486486768826938</v>
      </c>
      <c r="F181">
        <f t="shared" si="71"/>
        <v>3.2988944978073911</v>
      </c>
      <c r="G181">
        <f t="shared" si="71"/>
        <v>3.6117771346444765</v>
      </c>
      <c r="H181">
        <f t="shared" si="71"/>
        <v>3.4374763403110333</v>
      </c>
      <c r="I181">
        <f t="shared" si="71"/>
        <v>3.555444854559354</v>
      </c>
      <c r="J181">
        <f t="shared" si="71"/>
        <v>3.8143642777184121</v>
      </c>
      <c r="K181">
        <f t="shared" si="71"/>
        <v>3.4000584389923709</v>
      </c>
      <c r="L181">
        <f t="shared" si="71"/>
        <v>2.7157285829910571</v>
      </c>
      <c r="M181">
        <f t="shared" si="71"/>
        <v>2.7204603790109552</v>
      </c>
      <c r="N181">
        <f t="shared" si="71"/>
        <v>2.7088297140795836</v>
      </c>
      <c r="O181">
        <f t="shared" si="71"/>
        <v>2.7176029081041513</v>
      </c>
      <c r="P181">
        <f t="shared" si="71"/>
        <v>2.3419259807047874</v>
      </c>
      <c r="Q181">
        <f t="shared" si="71"/>
        <v>2.21253569536524</v>
      </c>
      <c r="R181">
        <f t="shared" si="71"/>
        <v>1.9289116152859125</v>
      </c>
      <c r="S181">
        <f t="shared" si="71"/>
        <v>1.8894790483929369</v>
      </c>
    </row>
    <row r="182" spans="1:19" x14ac:dyDescent="0.3">
      <c r="A182" s="6" t="s">
        <v>171</v>
      </c>
      <c r="B182">
        <f>B58/B43</f>
        <v>0.73821082912429103</v>
      </c>
      <c r="C182">
        <f t="shared" ref="C182:S182" si="72">C58/C43</f>
        <v>0.75341237482158063</v>
      </c>
      <c r="D182">
        <f t="shared" si="72"/>
        <v>0.74029029777545996</v>
      </c>
      <c r="E182">
        <f t="shared" si="72"/>
        <v>0.74674880400110411</v>
      </c>
      <c r="F182">
        <f t="shared" si="72"/>
        <v>0.76738205589598907</v>
      </c>
      <c r="G182">
        <f t="shared" si="72"/>
        <v>0.78316384968219188</v>
      </c>
      <c r="H182">
        <f t="shared" si="72"/>
        <v>0.77464668579395568</v>
      </c>
      <c r="I182">
        <f t="shared" si="72"/>
        <v>0.78048247055407949</v>
      </c>
      <c r="J182">
        <f t="shared" si="72"/>
        <v>0.79228825607813946</v>
      </c>
      <c r="K182">
        <f t="shared" si="72"/>
        <v>0.77273029123017656</v>
      </c>
      <c r="L182">
        <f t="shared" si="72"/>
        <v>0.73087377679372156</v>
      </c>
      <c r="M182">
        <f t="shared" si="72"/>
        <v>0.73121605980767379</v>
      </c>
      <c r="N182">
        <f t="shared" si="72"/>
        <v>0.73037316968105426</v>
      </c>
      <c r="O182">
        <f t="shared" si="72"/>
        <v>0.7310094637003699</v>
      </c>
      <c r="P182">
        <f t="shared" si="72"/>
        <v>0.7007713498821696</v>
      </c>
      <c r="Q182">
        <f t="shared" si="72"/>
        <v>0.68871941206981424</v>
      </c>
      <c r="R182">
        <f t="shared" si="72"/>
        <v>0.65857624559886807</v>
      </c>
      <c r="S182">
        <f t="shared" si="72"/>
        <v>0.6539168537815917</v>
      </c>
    </row>
    <row r="183" spans="1:19" x14ac:dyDescent="0.3">
      <c r="A183" s="6" t="s">
        <v>172</v>
      </c>
      <c r="B183">
        <f>B50/B43</f>
        <v>0.26178917087570897</v>
      </c>
      <c r="C183">
        <f t="shared" ref="C183:S183" si="73">C50/C43</f>
        <v>0.24658762517841931</v>
      </c>
      <c r="D183">
        <f t="shared" si="73"/>
        <v>0.25970970222454004</v>
      </c>
      <c r="E183">
        <f t="shared" si="73"/>
        <v>0.25325119599889589</v>
      </c>
      <c r="F183">
        <f t="shared" si="73"/>
        <v>0.23261794410401099</v>
      </c>
      <c r="G183">
        <f t="shared" si="73"/>
        <v>0.21683615031780809</v>
      </c>
      <c r="H183">
        <f t="shared" si="73"/>
        <v>0.22535331420604435</v>
      </c>
      <c r="I183">
        <f t="shared" si="73"/>
        <v>0.21951752944592051</v>
      </c>
      <c r="J183">
        <f t="shared" si="73"/>
        <v>0.20771174392186056</v>
      </c>
      <c r="K183">
        <f t="shared" si="73"/>
        <v>0.22726970876982341</v>
      </c>
      <c r="L183">
        <f t="shared" si="73"/>
        <v>0.26912622320627844</v>
      </c>
      <c r="M183">
        <f t="shared" si="73"/>
        <v>0.26878394019232621</v>
      </c>
      <c r="N183">
        <f t="shared" si="73"/>
        <v>0.26962683031894574</v>
      </c>
      <c r="O183">
        <f t="shared" si="73"/>
        <v>0.2689905362996301</v>
      </c>
      <c r="P183">
        <f t="shared" si="73"/>
        <v>0.2992286501178304</v>
      </c>
      <c r="Q183">
        <f t="shared" si="73"/>
        <v>0.31128058793018576</v>
      </c>
      <c r="R183">
        <f t="shared" si="73"/>
        <v>0.34142375440113193</v>
      </c>
      <c r="S183">
        <f t="shared" si="73"/>
        <v>0.34608314621840824</v>
      </c>
    </row>
    <row r="184" spans="1:19" x14ac:dyDescent="0.3">
      <c r="A184" s="6" t="s">
        <v>173</v>
      </c>
      <c r="B184">
        <f>(B54+B57+B121)/B43</f>
        <v>9.4064673840907193E-2</v>
      </c>
      <c r="C184">
        <f t="shared" ref="C184:S184" si="74">(C54+C57+C121)/C43</f>
        <v>0.10065260151636551</v>
      </c>
      <c r="D184">
        <f t="shared" si="74"/>
        <v>0.10577683363868023</v>
      </c>
      <c r="E184">
        <f t="shared" si="74"/>
        <v>0.11341536497788227</v>
      </c>
      <c r="F184">
        <f t="shared" si="74"/>
        <v>0.10953668096112179</v>
      </c>
      <c r="G184">
        <f t="shared" si="74"/>
        <v>0.11961841916680852</v>
      </c>
      <c r="H184">
        <f t="shared" si="74"/>
        <v>0.12416359562855868</v>
      </c>
      <c r="I184">
        <f t="shared" si="74"/>
        <v>0.12664257178576044</v>
      </c>
      <c r="J184">
        <f t="shared" si="74"/>
        <v>0.12918364108026337</v>
      </c>
      <c r="K184">
        <f t="shared" si="74"/>
        <v>0.11736663049796735</v>
      </c>
      <c r="L184">
        <f t="shared" si="74"/>
        <v>8.5629395808206499E-2</v>
      </c>
      <c r="M184">
        <f t="shared" si="74"/>
        <v>9.1763346440391094E-2</v>
      </c>
      <c r="N184">
        <f t="shared" si="74"/>
        <v>0.10285598502691685</v>
      </c>
      <c r="O184">
        <f t="shared" si="74"/>
        <v>9.7987407103442933E-2</v>
      </c>
      <c r="P184">
        <f t="shared" si="74"/>
        <v>1.2673709266720717E-2</v>
      </c>
      <c r="Q184">
        <f t="shared" si="74"/>
        <v>7.2626945891440557E-3</v>
      </c>
      <c r="R184">
        <f t="shared" si="74"/>
        <v>5.9711109280017978E-3</v>
      </c>
      <c r="S184">
        <f t="shared" si="74"/>
        <v>2.3269351697823331E-2</v>
      </c>
    </row>
    <row r="185" spans="1:19" x14ac:dyDescent="0.3">
      <c r="A185" s="6" t="s">
        <v>174</v>
      </c>
      <c r="B185">
        <f>B54/B43</f>
        <v>8.5881658259476495E-2</v>
      </c>
      <c r="C185">
        <f t="shared" ref="C185:S185" si="75">C54/C43</f>
        <v>9.2763405672345145E-2</v>
      </c>
      <c r="D185">
        <f t="shared" si="75"/>
        <v>9.7683160515519632E-2</v>
      </c>
      <c r="E185">
        <f t="shared" si="75"/>
        <v>0.1041705930123662</v>
      </c>
      <c r="F185">
        <f t="shared" si="75"/>
        <v>9.9823444565613359E-2</v>
      </c>
      <c r="G185">
        <f t="shared" si="75"/>
        <v>0.10958304325944998</v>
      </c>
      <c r="H185">
        <f t="shared" si="75"/>
        <v>0.11697641098265281</v>
      </c>
      <c r="I185">
        <f t="shared" si="75"/>
        <v>0.1209776728299235</v>
      </c>
      <c r="J185">
        <f t="shared" si="75"/>
        <v>0.12124246145868686</v>
      </c>
      <c r="K185">
        <f t="shared" si="75"/>
        <v>0.10877048938581077</v>
      </c>
      <c r="L185">
        <f t="shared" si="75"/>
        <v>7.7902980835676691E-2</v>
      </c>
      <c r="M185">
        <f t="shared" si="75"/>
        <v>8.3526978849064251E-2</v>
      </c>
      <c r="N185">
        <f t="shared" si="75"/>
        <v>8.414188916736251E-2</v>
      </c>
      <c r="O185">
        <f t="shared" si="75"/>
        <v>9.0554082327838931E-2</v>
      </c>
      <c r="P185">
        <f t="shared" si="75"/>
        <v>5.4909019706619868E-3</v>
      </c>
      <c r="Q185">
        <f t="shared" si="75"/>
        <v>0</v>
      </c>
      <c r="R185">
        <f t="shared" si="75"/>
        <v>0</v>
      </c>
      <c r="S185">
        <f t="shared" si="75"/>
        <v>0</v>
      </c>
    </row>
    <row r="186" spans="1:19" x14ac:dyDescent="0.3">
      <c r="A186" s="6" t="s">
        <v>175</v>
      </c>
      <c r="B186">
        <f>B54/(B54+B50)</f>
        <v>0.24702002889659452</v>
      </c>
      <c r="C186">
        <f t="shared" ref="C186:S186" si="76">C54/(C54+C50)</f>
        <v>0.2733553083359852</v>
      </c>
      <c r="D186">
        <f t="shared" si="76"/>
        <v>0.27332152009584737</v>
      </c>
      <c r="E186">
        <f t="shared" si="76"/>
        <v>0.29145003526655133</v>
      </c>
      <c r="F186">
        <f t="shared" si="76"/>
        <v>0.30027381658189534</v>
      </c>
      <c r="G186">
        <f t="shared" si="76"/>
        <v>0.33571262173194932</v>
      </c>
      <c r="H186">
        <f t="shared" si="76"/>
        <v>0.34170684686576286</v>
      </c>
      <c r="I186">
        <f t="shared" si="76"/>
        <v>0.35529919958142714</v>
      </c>
      <c r="J186">
        <f t="shared" si="76"/>
        <v>0.36856942235600459</v>
      </c>
      <c r="K186">
        <f t="shared" si="76"/>
        <v>0.32368297002204072</v>
      </c>
      <c r="L186">
        <f t="shared" si="76"/>
        <v>0.22448537451118489</v>
      </c>
      <c r="M186">
        <f t="shared" si="76"/>
        <v>0.23708313973445505</v>
      </c>
      <c r="N186">
        <f t="shared" si="76"/>
        <v>0.23784434443367741</v>
      </c>
      <c r="O186">
        <f t="shared" si="76"/>
        <v>0.25185770454171008</v>
      </c>
      <c r="P186">
        <f t="shared" si="76"/>
        <v>1.8019526259566685E-2</v>
      </c>
      <c r="Q186">
        <f t="shared" si="76"/>
        <v>0</v>
      </c>
      <c r="R186">
        <f t="shared" si="76"/>
        <v>0</v>
      </c>
      <c r="S186">
        <f t="shared" si="76"/>
        <v>0</v>
      </c>
    </row>
    <row r="187" spans="1:19" x14ac:dyDescent="0.3">
      <c r="A187" s="6" t="s">
        <v>176</v>
      </c>
      <c r="B187">
        <f>B54/B50</f>
        <v>0.32805657305149183</v>
      </c>
      <c r="C187">
        <f t="shared" ref="C187:S187" si="77">C54/C50</f>
        <v>0.37618840606954979</v>
      </c>
      <c r="D187">
        <f t="shared" si="77"/>
        <v>0.37612441768180321</v>
      </c>
      <c r="E187">
        <f t="shared" si="77"/>
        <v>0.41133307426836541</v>
      </c>
      <c r="F187">
        <f t="shared" si="77"/>
        <v>0.42913045659529636</v>
      </c>
      <c r="G187">
        <f t="shared" si="77"/>
        <v>0.5053725732486879</v>
      </c>
      <c r="H187">
        <f t="shared" si="77"/>
        <v>0.5190800561100215</v>
      </c>
      <c r="I187">
        <f t="shared" si="77"/>
        <v>0.5511071172096399</v>
      </c>
      <c r="J187">
        <f t="shared" si="77"/>
        <v>0.58370537538935341</v>
      </c>
      <c r="K187">
        <f t="shared" si="77"/>
        <v>0.47859650973536683</v>
      </c>
      <c r="L187">
        <f t="shared" si="77"/>
        <v>0.28946633259132848</v>
      </c>
      <c r="M187">
        <f t="shared" si="77"/>
        <v>0.31075881538642963</v>
      </c>
      <c r="N187">
        <f t="shared" si="77"/>
        <v>0.31206793874270511</v>
      </c>
      <c r="O187">
        <f t="shared" si="77"/>
        <v>0.33664411980267672</v>
      </c>
      <c r="P187">
        <f t="shared" si="77"/>
        <v>1.8350187953258407E-2</v>
      </c>
      <c r="Q187">
        <f t="shared" si="77"/>
        <v>0</v>
      </c>
      <c r="R187">
        <f t="shared" si="77"/>
        <v>0</v>
      </c>
      <c r="S187">
        <f t="shared" si="77"/>
        <v>0</v>
      </c>
    </row>
    <row r="188" spans="1:19" x14ac:dyDescent="0.3">
      <c r="A188" s="6" t="s">
        <v>177</v>
      </c>
      <c r="B188">
        <f>(B33+B34+B35+B36+B37+B38+B39)/B50</f>
        <v>3.4720968905823573</v>
      </c>
      <c r="C188">
        <f t="shared" ref="C188:S188" si="78">(C33+C34+C35+C36+C37+C38+C39)/C50</f>
        <v>3.6508746988253797</v>
      </c>
      <c r="D188">
        <f t="shared" si="78"/>
        <v>3.4842804649335584</v>
      </c>
      <c r="E188">
        <f t="shared" si="78"/>
        <v>3.6628691027864582</v>
      </c>
      <c r="F188">
        <f t="shared" si="78"/>
        <v>3.9602315730304145</v>
      </c>
      <c r="G188">
        <f t="shared" si="78"/>
        <v>4.2435911840067639</v>
      </c>
      <c r="H188">
        <f t="shared" si="78"/>
        <v>4.0993694060585728</v>
      </c>
      <c r="I188">
        <f t="shared" si="78"/>
        <v>4.2682878002826188</v>
      </c>
      <c r="J188">
        <f t="shared" si="78"/>
        <v>4.5022924794291779</v>
      </c>
      <c r="K188">
        <f t="shared" si="78"/>
        <v>4.0742106131238236</v>
      </c>
      <c r="L188">
        <f t="shared" si="78"/>
        <v>3.4631980378583038</v>
      </c>
      <c r="M188">
        <f t="shared" si="78"/>
        <v>3.4833818533485772</v>
      </c>
      <c r="N188">
        <f t="shared" si="78"/>
        <v>3.4172222028739623</v>
      </c>
      <c r="O188">
        <f t="shared" si="78"/>
        <v>3.4698019628491599</v>
      </c>
      <c r="P188">
        <f t="shared" si="78"/>
        <v>3.1159824227396924</v>
      </c>
      <c r="Q188">
        <f t="shared" si="78"/>
        <v>2.9640259789801671</v>
      </c>
      <c r="R188">
        <f t="shared" si="78"/>
        <v>2.6772250739504044</v>
      </c>
      <c r="S188">
        <f t="shared" si="78"/>
        <v>2.6162557995739903</v>
      </c>
    </row>
    <row r="189" spans="1:19" x14ac:dyDescent="0.3">
      <c r="A189" s="6" t="s">
        <v>178</v>
      </c>
      <c r="B189">
        <f>(B34+B35+B33)/B50</f>
        <v>9.1280829710714884E-2</v>
      </c>
      <c r="C189">
        <f t="shared" ref="C189:S189" si="79">(C34+C35+C33)/C50</f>
        <v>0.10912938994319588</v>
      </c>
      <c r="D189">
        <f t="shared" si="79"/>
        <v>9.9108805846634451E-2</v>
      </c>
      <c r="E189">
        <f t="shared" si="79"/>
        <v>9.6002549926558836E-2</v>
      </c>
      <c r="F189">
        <f t="shared" si="79"/>
        <v>0.10906663204573559</v>
      </c>
      <c r="G189">
        <f t="shared" si="79"/>
        <v>0.11695888384286925</v>
      </c>
      <c r="H189">
        <f t="shared" si="79"/>
        <v>0.10474073027641874</v>
      </c>
      <c r="I189">
        <f t="shared" si="79"/>
        <v>0.10974504451634325</v>
      </c>
      <c r="J189">
        <f t="shared" si="79"/>
        <v>0.125562835896571</v>
      </c>
      <c r="K189">
        <f t="shared" si="79"/>
        <v>0.12282936400292027</v>
      </c>
      <c r="L189">
        <f t="shared" si="79"/>
        <v>0.1166856653913753</v>
      </c>
      <c r="M189">
        <f t="shared" si="79"/>
        <v>0.12323682825266893</v>
      </c>
      <c r="N189">
        <f t="shared" si="79"/>
        <v>0.12915099755486789</v>
      </c>
      <c r="O189">
        <f t="shared" si="79"/>
        <v>0.14586554777457519</v>
      </c>
      <c r="P189">
        <f t="shared" si="79"/>
        <v>0.14227957497433388</v>
      </c>
      <c r="Q189">
        <f t="shared" si="79"/>
        <v>0.1656877786698876</v>
      </c>
      <c r="R189">
        <f t="shared" si="79"/>
        <v>0.12425590127880946</v>
      </c>
      <c r="S189">
        <f t="shared" si="79"/>
        <v>0.13245419301760233</v>
      </c>
    </row>
    <row r="190" spans="1:19" x14ac:dyDescent="0.3">
      <c r="A190" s="6" t="s">
        <v>179</v>
      </c>
      <c r="B190">
        <f>(B121+B54+B57)/B128</f>
        <v>2.6266792241407724</v>
      </c>
      <c r="C190">
        <f t="shared" ref="C190:S190" si="80">(C121+C54+C57)/C128</f>
        <v>3.0873510571741387</v>
      </c>
      <c r="D190">
        <f t="shared" si="80"/>
        <v>5.6154669024315842</v>
      </c>
      <c r="E190">
        <f t="shared" si="80"/>
        <v>5.1759910745227575</v>
      </c>
      <c r="F190">
        <f t="shared" si="80"/>
        <v>4.4735696403205845</v>
      </c>
      <c r="G190">
        <f t="shared" si="80"/>
        <v>3.7858666246175661</v>
      </c>
      <c r="H190">
        <f t="shared" si="80"/>
        <v>3.802145934868276</v>
      </c>
      <c r="I190">
        <f t="shared" si="80"/>
        <v>4.4080572409668139</v>
      </c>
      <c r="J190">
        <f t="shared" si="80"/>
        <v>-54.495847966728284</v>
      </c>
      <c r="K190">
        <f t="shared" si="80"/>
        <v>-8.6376728574429347</v>
      </c>
      <c r="L190">
        <f t="shared" si="80"/>
        <v>3.2030675091605043</v>
      </c>
      <c r="M190">
        <f t="shared" si="80"/>
        <v>4.4021013763438104</v>
      </c>
      <c r="N190">
        <f t="shared" si="80"/>
        <v>4.7817881316115258</v>
      </c>
      <c r="O190">
        <f t="shared" si="80"/>
        <v>4.3043346565478666</v>
      </c>
      <c r="P190">
        <f t="shared" si="80"/>
        <v>0.29187759257679508</v>
      </c>
      <c r="Q190">
        <f t="shared" si="80"/>
        <v>1.5305230621159398</v>
      </c>
      <c r="R190">
        <f t="shared" si="80"/>
        <v>0.71872127239886729</v>
      </c>
      <c r="S190">
        <f t="shared" si="80"/>
        <v>0.81970887957755378</v>
      </c>
    </row>
    <row r="191" spans="1:19" x14ac:dyDescent="0.3">
      <c r="A191" s="6" t="s">
        <v>180</v>
      </c>
      <c r="B191">
        <f>(B121+B54+B57-B42)/B128</f>
        <v>1.9271530448494498</v>
      </c>
      <c r="C191">
        <f t="shared" ref="C191:S191" si="81">(C121+C54+C57-C42)/C128</f>
        <v>2.2855759478072111</v>
      </c>
      <c r="D191">
        <f t="shared" si="81"/>
        <v>4.4783365130575508</v>
      </c>
      <c r="E191">
        <f t="shared" si="81"/>
        <v>4.2166322268346814</v>
      </c>
      <c r="F191">
        <f t="shared" si="81"/>
        <v>3.4898978165036212</v>
      </c>
      <c r="G191">
        <f t="shared" si="81"/>
        <v>3.1782241560057276</v>
      </c>
      <c r="H191">
        <f t="shared" si="81"/>
        <v>3.3325212124597061</v>
      </c>
      <c r="I191">
        <f t="shared" si="81"/>
        <v>3.6891009921698745</v>
      </c>
      <c r="J191">
        <f t="shared" si="81"/>
        <v>-48.504905268022178</v>
      </c>
      <c r="K191">
        <f t="shared" si="81"/>
        <v>-7.4820959074359337</v>
      </c>
      <c r="L191">
        <f t="shared" si="81"/>
        <v>2.5404687972405346</v>
      </c>
      <c r="M191">
        <f t="shared" si="81"/>
        <v>3.6779240094106789</v>
      </c>
      <c r="N191">
        <f t="shared" si="81"/>
        <v>4.0463170050069328</v>
      </c>
      <c r="O191">
        <f t="shared" si="81"/>
        <v>3.6669180177854348</v>
      </c>
      <c r="P191">
        <f t="shared" si="81"/>
        <v>-9.2600202377905713E-2</v>
      </c>
      <c r="Q191">
        <f t="shared" si="81"/>
        <v>-0.69226512178870214</v>
      </c>
      <c r="R191">
        <f t="shared" si="81"/>
        <v>-0.83534320677405494</v>
      </c>
      <c r="S191">
        <f t="shared" si="81"/>
        <v>0.58634681709947334</v>
      </c>
    </row>
    <row r="192" spans="1:19" x14ac:dyDescent="0.3">
      <c r="A192" s="6" t="s">
        <v>181</v>
      </c>
      <c r="B192">
        <f>B121/(B121+B54+B57)</f>
        <v>7.4962732898272997E-3</v>
      </c>
      <c r="C192">
        <f t="shared" ref="C192:S192" si="82">C121/(C121+C54+C57)</f>
        <v>7.4522260297795436E-3</v>
      </c>
      <c r="D192">
        <f t="shared" si="82"/>
        <v>7.151154820029715E-3</v>
      </c>
      <c r="E192">
        <f t="shared" si="82"/>
        <v>6.9151382221891806E-3</v>
      </c>
      <c r="F192">
        <f t="shared" si="82"/>
        <v>7.4148807603658592E-3</v>
      </c>
      <c r="G192">
        <f t="shared" si="82"/>
        <v>6.8537520032282851E-3</v>
      </c>
      <c r="H192">
        <f t="shared" si="82"/>
        <v>6.4185869143321651E-3</v>
      </c>
      <c r="I192">
        <f t="shared" si="82"/>
        <v>6.4333292523845419E-3</v>
      </c>
      <c r="J192">
        <f t="shared" si="82"/>
        <v>6.5211686877907019E-3</v>
      </c>
      <c r="K192">
        <f t="shared" si="82"/>
        <v>7.7923838639335392E-3</v>
      </c>
      <c r="L192">
        <f t="shared" si="82"/>
        <v>3.9881507162405237E-3</v>
      </c>
      <c r="M192">
        <f t="shared" si="82"/>
        <v>3.9132251924793617E-3</v>
      </c>
      <c r="N192">
        <f t="shared" si="82"/>
        <v>3.5971916417501266E-3</v>
      </c>
      <c r="O192">
        <f t="shared" si="82"/>
        <v>3.9894592287421596E-3</v>
      </c>
      <c r="P192">
        <f t="shared" si="82"/>
        <v>3.1184228425735556E-2</v>
      </c>
      <c r="Q192">
        <f t="shared" si="82"/>
        <v>6.3483252732156187E-2</v>
      </c>
      <c r="R192">
        <f t="shared" si="82"/>
        <v>8.4351675544521845E-2</v>
      </c>
      <c r="S192">
        <f t="shared" si="82"/>
        <v>2.273283345206055E-2</v>
      </c>
    </row>
    <row r="193" spans="1:19" x14ac:dyDescent="0.3">
      <c r="A193" s="6" t="s">
        <v>182</v>
      </c>
      <c r="B193">
        <f>B129/(B117*B116)</f>
        <v>0</v>
      </c>
      <c r="C193">
        <f t="shared" ref="C193:S193" si="83">C129/(C117*C116)</f>
        <v>2.8973333333333334E-2</v>
      </c>
      <c r="D193">
        <f t="shared" si="83"/>
        <v>0</v>
      </c>
      <c r="E193">
        <f t="shared" si="83"/>
        <v>0</v>
      </c>
      <c r="F193">
        <f t="shared" si="83"/>
        <v>0</v>
      </c>
      <c r="G193">
        <f t="shared" si="83"/>
        <v>2.2478908188585611E-2</v>
      </c>
      <c r="H193">
        <f t="shared" si="83"/>
        <v>0</v>
      </c>
      <c r="I193">
        <f t="shared" si="83"/>
        <v>0</v>
      </c>
      <c r="J193">
        <f t="shared" si="83"/>
        <v>0</v>
      </c>
      <c r="K193">
        <f t="shared" si="83"/>
        <v>2.9105220883534136E-2</v>
      </c>
      <c r="L193">
        <f t="shared" si="83"/>
        <v>0</v>
      </c>
      <c r="M193">
        <f t="shared" si="83"/>
        <v>0</v>
      </c>
      <c r="N193">
        <f t="shared" si="83"/>
        <v>0</v>
      </c>
      <c r="O193">
        <f t="shared" si="83"/>
        <v>4.2403584699453552E-2</v>
      </c>
      <c r="P193">
        <f t="shared" si="83"/>
        <v>0</v>
      </c>
      <c r="Q193">
        <f t="shared" si="83"/>
        <v>0</v>
      </c>
      <c r="R193">
        <f t="shared" si="83"/>
        <v>0</v>
      </c>
      <c r="S193">
        <f t="shared" si="83"/>
        <v>0</v>
      </c>
    </row>
    <row r="194" spans="1:19" x14ac:dyDescent="0.3">
      <c r="A194" s="6" t="s">
        <v>183</v>
      </c>
      <c r="B194">
        <f>B116/B30</f>
        <v>20.872274143302182</v>
      </c>
      <c r="C194">
        <f t="shared" ref="C194:S194" si="84">C116/C30</f>
        <v>29.385964912280706</v>
      </c>
      <c r="D194">
        <f t="shared" si="84"/>
        <v>21.887417218543046</v>
      </c>
      <c r="E194">
        <f t="shared" si="84"/>
        <v>28.770053475935825</v>
      </c>
      <c r="F194">
        <f t="shared" si="84"/>
        <v>54.81481481481481</v>
      </c>
      <c r="G194">
        <f t="shared" si="84"/>
        <v>60.149253731343279</v>
      </c>
      <c r="H194">
        <f t="shared" si="84"/>
        <v>43.505154639175259</v>
      </c>
      <c r="I194">
        <f t="shared" si="84"/>
        <v>42.660098522167488</v>
      </c>
      <c r="J194">
        <f t="shared" si="84"/>
        <v>37.717391304347828</v>
      </c>
      <c r="K194">
        <f t="shared" si="84"/>
        <v>37.164179104477604</v>
      </c>
      <c r="L194">
        <f t="shared" si="84"/>
        <v>23.459459459459456</v>
      </c>
      <c r="M194">
        <f t="shared" si="84"/>
        <v>54.198473282442748</v>
      </c>
      <c r="N194">
        <f t="shared" si="84"/>
        <v>22.985074626865671</v>
      </c>
      <c r="O194">
        <f t="shared" si="84"/>
        <v>27.477477477477475</v>
      </c>
      <c r="P194">
        <f t="shared" si="84"/>
        <v>13.231939163498099</v>
      </c>
      <c r="Q194">
        <f t="shared" si="84"/>
        <v>3400</v>
      </c>
      <c r="R194">
        <f t="shared" si="84"/>
        <v>222.14285714285714</v>
      </c>
      <c r="S194">
        <f t="shared" si="84"/>
        <v>19.296875</v>
      </c>
    </row>
    <row r="195" spans="1:19" x14ac:dyDescent="0.3">
      <c r="A195" s="6" t="s">
        <v>184</v>
      </c>
      <c r="B195">
        <f>(B116*B117)/B3</f>
        <v>3.4073941470122748</v>
      </c>
      <c r="C195">
        <f t="shared" ref="C195:S195" si="85">(C116*C117)/C3</f>
        <v>3.5076932613338281</v>
      </c>
      <c r="D195">
        <f t="shared" si="85"/>
        <v>3.1810513928288864</v>
      </c>
      <c r="E195">
        <f t="shared" si="85"/>
        <v>3.3199525942035519</v>
      </c>
      <c r="F195">
        <f t="shared" si="85"/>
        <v>4.277407856927721</v>
      </c>
      <c r="G195">
        <f t="shared" si="85"/>
        <v>5.0504476643287832</v>
      </c>
      <c r="H195">
        <f t="shared" si="85"/>
        <v>4.9391809698741174</v>
      </c>
      <c r="I195">
        <f t="shared" si="85"/>
        <v>6.1602530796997321</v>
      </c>
      <c r="J195">
        <f t="shared" si="85"/>
        <v>4.6471679060602469</v>
      </c>
      <c r="K195">
        <f t="shared" si="85"/>
        <v>3.2178325300382729</v>
      </c>
      <c r="L195">
        <f t="shared" si="85"/>
        <v>2.8450121299779845</v>
      </c>
      <c r="M195">
        <f t="shared" si="85"/>
        <v>5.1706167589350684</v>
      </c>
      <c r="N195">
        <f t="shared" si="85"/>
        <v>2.6118032703847289</v>
      </c>
      <c r="O195">
        <f t="shared" si="85"/>
        <v>2.4022088349617947</v>
      </c>
      <c r="P195">
        <f t="shared" si="85"/>
        <v>2.7368749543854172</v>
      </c>
      <c r="Q195">
        <f t="shared" si="85"/>
        <v>2.8594496400457512</v>
      </c>
      <c r="R195">
        <f t="shared" si="85"/>
        <v>3.9514408994885573</v>
      </c>
      <c r="S195">
        <f t="shared" si="85"/>
        <v>2.660453723328323</v>
      </c>
    </row>
    <row r="196" spans="1:19" x14ac:dyDescent="0.3">
      <c r="A196" s="6" t="s">
        <v>185</v>
      </c>
      <c r="B196">
        <f>(B130-B132)/B50</f>
        <v>8.153742179430519E-2</v>
      </c>
      <c r="C196">
        <f t="shared" ref="C196:S196" si="86">(C130-C132)/C50</f>
        <v>0.15850448197965328</v>
      </c>
      <c r="D196">
        <f t="shared" si="86"/>
        <v>2.2338953777993911E-2</v>
      </c>
      <c r="E196">
        <f t="shared" si="86"/>
        <v>2.3902451433492379E-2</v>
      </c>
      <c r="F196">
        <f t="shared" si="86"/>
        <v>6.0810802305912249E-3</v>
      </c>
      <c r="G196">
        <f t="shared" si="86"/>
        <v>8.7308720795401376E-2</v>
      </c>
      <c r="H196">
        <f t="shared" si="86"/>
        <v>-2.7358326058381351E-2</v>
      </c>
      <c r="I196">
        <f t="shared" si="86"/>
        <v>0.18273872033852498</v>
      </c>
      <c r="J196">
        <f t="shared" si="86"/>
        <v>0.21538938292333029</v>
      </c>
      <c r="K196">
        <f t="shared" si="86"/>
        <v>0.1476274229576493</v>
      </c>
      <c r="L196">
        <f t="shared" si="86"/>
        <v>0.18443725840374825</v>
      </c>
      <c r="M196">
        <f t="shared" si="86"/>
        <v>0.20844031501186536</v>
      </c>
      <c r="N196">
        <f t="shared" si="86"/>
        <v>0.10033967941510472</v>
      </c>
      <c r="O196">
        <f t="shared" si="86"/>
        <v>0.2192052295341132</v>
      </c>
      <c r="P196">
        <f t="shared" si="86"/>
        <v>0.23616492222868454</v>
      </c>
      <c r="Q196">
        <f t="shared" si="86"/>
        <v>0.22694193960223438</v>
      </c>
      <c r="R196">
        <f t="shared" si="86"/>
        <v>0.15898086422632673</v>
      </c>
      <c r="S196">
        <f t="shared" si="86"/>
        <v>0.36739725449853144</v>
      </c>
    </row>
    <row r="197" spans="1:19" x14ac:dyDescent="0.3">
      <c r="A197" s="6" t="s">
        <v>186</v>
      </c>
      <c r="B197">
        <f>B129/B117</f>
        <v>0</v>
      </c>
      <c r="C197">
        <f t="shared" ref="C197:S197" si="87">C129/C117</f>
        <v>1.9412133333333332</v>
      </c>
      <c r="D197">
        <f t="shared" si="87"/>
        <v>0</v>
      </c>
      <c r="E197">
        <f t="shared" si="87"/>
        <v>0</v>
      </c>
      <c r="F197">
        <f t="shared" si="87"/>
        <v>0</v>
      </c>
      <c r="G197">
        <f t="shared" si="87"/>
        <v>1.8118000000000001</v>
      </c>
      <c r="H197">
        <f t="shared" si="87"/>
        <v>0</v>
      </c>
      <c r="I197">
        <f t="shared" si="87"/>
        <v>0</v>
      </c>
      <c r="J197">
        <f t="shared" si="87"/>
        <v>0</v>
      </c>
      <c r="K197">
        <f t="shared" si="87"/>
        <v>1.4494400000000001</v>
      </c>
      <c r="L197">
        <f t="shared" si="87"/>
        <v>0</v>
      </c>
      <c r="M197">
        <f t="shared" si="87"/>
        <v>0</v>
      </c>
      <c r="N197">
        <f t="shared" si="87"/>
        <v>0</v>
      </c>
      <c r="O197">
        <f t="shared" si="87"/>
        <v>1.2933093333333334</v>
      </c>
      <c r="P197">
        <f t="shared" si="87"/>
        <v>0</v>
      </c>
      <c r="Q197">
        <f t="shared" si="87"/>
        <v>0</v>
      </c>
      <c r="R197">
        <f t="shared" si="87"/>
        <v>0</v>
      </c>
      <c r="S197">
        <f t="shared" si="87"/>
        <v>0</v>
      </c>
    </row>
    <row r="198" spans="1:19" x14ac:dyDescent="0.3">
      <c r="A198" s="6" t="s">
        <v>187</v>
      </c>
      <c r="B198">
        <f>B197/B30</f>
        <v>0</v>
      </c>
      <c r="C198">
        <f t="shared" ref="C198:S198" si="88">C197/C30</f>
        <v>0.85140935672514628</v>
      </c>
      <c r="D198">
        <f t="shared" si="88"/>
        <v>0</v>
      </c>
      <c r="E198">
        <f t="shared" si="88"/>
        <v>0</v>
      </c>
      <c r="F198">
        <f t="shared" si="88"/>
        <v>0</v>
      </c>
      <c r="G198">
        <f t="shared" si="88"/>
        <v>1.3520895522388059</v>
      </c>
      <c r="H198">
        <f t="shared" si="88"/>
        <v>0</v>
      </c>
      <c r="I198">
        <f t="shared" si="88"/>
        <v>0</v>
      </c>
      <c r="J198">
        <f t="shared" si="88"/>
        <v>0</v>
      </c>
      <c r="K198">
        <f t="shared" si="88"/>
        <v>1.0816716417910448</v>
      </c>
      <c r="L198">
        <f t="shared" si="88"/>
        <v>0</v>
      </c>
      <c r="M198">
        <f t="shared" si="88"/>
        <v>0</v>
      </c>
      <c r="N198">
        <f t="shared" si="88"/>
        <v>0</v>
      </c>
      <c r="O198">
        <f t="shared" si="88"/>
        <v>1.1651435435435435</v>
      </c>
      <c r="P198">
        <f t="shared" si="88"/>
        <v>0</v>
      </c>
      <c r="Q198">
        <f t="shared" si="88"/>
        <v>0</v>
      </c>
      <c r="R198">
        <f t="shared" si="88"/>
        <v>0</v>
      </c>
      <c r="S198">
        <f t="shared" si="88"/>
        <v>0</v>
      </c>
    </row>
    <row r="199" spans="1:19" x14ac:dyDescent="0.3">
      <c r="A199" s="6" t="s">
        <v>189</v>
      </c>
      <c r="B199">
        <f>B50/B117</f>
        <v>38.447327999999999</v>
      </c>
      <c r="C199">
        <f t="shared" ref="C199:S199" si="89">C50/C117</f>
        <v>34.04448</v>
      </c>
      <c r="D199">
        <f t="shared" si="89"/>
        <v>35.55558933333333</v>
      </c>
      <c r="E199">
        <f t="shared" si="89"/>
        <v>33.439917333333334</v>
      </c>
      <c r="F199">
        <f t="shared" si="89"/>
        <v>29.659642666666667</v>
      </c>
      <c r="G199">
        <f t="shared" si="89"/>
        <v>27.389978666666668</v>
      </c>
      <c r="H199">
        <f t="shared" si="89"/>
        <v>28.994464000000001</v>
      </c>
      <c r="I199">
        <f t="shared" si="89"/>
        <v>27.627306666666666</v>
      </c>
      <c r="J199">
        <f t="shared" si="89"/>
        <v>25.282088000000002</v>
      </c>
      <c r="K199">
        <f t="shared" si="89"/>
        <v>25.480703999999999</v>
      </c>
      <c r="L199">
        <f t="shared" si="89"/>
        <v>28.235813333333333</v>
      </c>
      <c r="M199">
        <f t="shared" si="89"/>
        <v>26.818714666666665</v>
      </c>
      <c r="N199">
        <f t="shared" si="89"/>
        <v>26.110109333333334</v>
      </c>
      <c r="O199">
        <f t="shared" si="89"/>
        <v>24.654229333333333</v>
      </c>
      <c r="P199">
        <f t="shared" si="89"/>
        <v>26.496658666666665</v>
      </c>
      <c r="Q199">
        <f t="shared" si="89"/>
        <v>23.627717333333333</v>
      </c>
      <c r="R199">
        <f t="shared" si="89"/>
        <v>23.723106666666666</v>
      </c>
      <c r="S199">
        <f t="shared" si="89"/>
        <v>22.896509333333334</v>
      </c>
    </row>
    <row r="200" spans="1:19" x14ac:dyDescent="0.3">
      <c r="A200" s="6" t="s">
        <v>190</v>
      </c>
      <c r="B200">
        <f>B116/B199</f>
        <v>1.7426438581115442</v>
      </c>
      <c r="C200">
        <f t="shared" ref="C200:S200" si="90">C116/C199</f>
        <v>1.9680136104296497</v>
      </c>
      <c r="D200">
        <f t="shared" si="90"/>
        <v>1.8590607338923029</v>
      </c>
      <c r="E200">
        <f t="shared" si="90"/>
        <v>1.6088556518760133</v>
      </c>
      <c r="F200">
        <f t="shared" si="90"/>
        <v>2.494972742310404</v>
      </c>
      <c r="G200">
        <f t="shared" si="90"/>
        <v>2.9426821021255263</v>
      </c>
      <c r="H200">
        <f t="shared" si="90"/>
        <v>2.9109005084556832</v>
      </c>
      <c r="I200">
        <f t="shared" si="90"/>
        <v>3.1345798939020715</v>
      </c>
      <c r="J200">
        <f t="shared" si="90"/>
        <v>2.7450264392719461</v>
      </c>
      <c r="K200">
        <f t="shared" si="90"/>
        <v>1.9544200976550725</v>
      </c>
      <c r="L200">
        <f t="shared" si="90"/>
        <v>1.5370550685984607</v>
      </c>
      <c r="M200">
        <f t="shared" si="90"/>
        <v>2.6474050260226245</v>
      </c>
      <c r="N200">
        <f t="shared" si="90"/>
        <v>1.1796197253252916</v>
      </c>
      <c r="O200">
        <f t="shared" si="90"/>
        <v>1.2371102575395854</v>
      </c>
      <c r="P200">
        <f t="shared" si="90"/>
        <v>1.3133731478293564</v>
      </c>
      <c r="Q200">
        <f t="shared" si="90"/>
        <v>1.4389879276248889</v>
      </c>
      <c r="R200">
        <f t="shared" si="90"/>
        <v>1.3109581488203064</v>
      </c>
      <c r="S200">
        <f t="shared" si="90"/>
        <v>1.0787670574763593</v>
      </c>
    </row>
    <row r="201" spans="1:19" x14ac:dyDescent="0.3">
      <c r="A201" s="6" t="s">
        <v>191</v>
      </c>
      <c r="B201">
        <f>(B24-B129)/B24</f>
        <v>1</v>
      </c>
      <c r="C201">
        <f t="shared" ref="C201:S201" si="91">(C24-C129)/C24</f>
        <v>0.14720722388248539</v>
      </c>
      <c r="D201">
        <f t="shared" si="91"/>
        <v>1</v>
      </c>
      <c r="E201">
        <f t="shared" si="91"/>
        <v>1</v>
      </c>
      <c r="F201">
        <f t="shared" si="91"/>
        <v>1</v>
      </c>
      <c r="G201">
        <f t="shared" si="91"/>
        <v>-0.35441834318111143</v>
      </c>
      <c r="H201">
        <f t="shared" si="91"/>
        <v>1</v>
      </c>
      <c r="I201">
        <f t="shared" si="91"/>
        <v>1</v>
      </c>
      <c r="J201">
        <f t="shared" si="91"/>
        <v>1</v>
      </c>
      <c r="K201">
        <f t="shared" si="91"/>
        <v>-8.3253947058987657E-2</v>
      </c>
      <c r="L201">
        <f t="shared" si="91"/>
        <v>1</v>
      </c>
      <c r="M201">
        <f t="shared" si="91"/>
        <v>1</v>
      </c>
      <c r="N201">
        <f t="shared" si="91"/>
        <v>1</v>
      </c>
      <c r="O201">
        <f t="shared" si="91"/>
        <v>-0.16527791793408009</v>
      </c>
      <c r="P201">
        <f t="shared" si="91"/>
        <v>1</v>
      </c>
      <c r="Q201">
        <f t="shared" si="91"/>
        <v>1</v>
      </c>
      <c r="R201">
        <f t="shared" si="91"/>
        <v>1</v>
      </c>
      <c r="S201">
        <f t="shared" si="91"/>
        <v>1</v>
      </c>
    </row>
    <row r="202" spans="1:19" x14ac:dyDescent="0.3">
      <c r="A202" s="6" t="s">
        <v>192</v>
      </c>
      <c r="B202">
        <f>(B116*B117)/B130</f>
        <v>20.979861837693942</v>
      </c>
      <c r="C202">
        <f t="shared" ref="C202:S202" si="92">(C116*C117)/C130</f>
        <v>13.573839254408593</v>
      </c>
      <c r="D202">
        <f t="shared" si="92"/>
        <v>69.558250738026004</v>
      </c>
      <c r="E202">
        <f t="shared" si="92"/>
        <v>61.118028227895266</v>
      </c>
      <c r="F202">
        <f t="shared" si="92"/>
        <v>204.17022278466112</v>
      </c>
      <c r="G202">
        <f t="shared" si="92"/>
        <v>35.030725046186078</v>
      </c>
      <c r="H202">
        <f t="shared" si="92"/>
        <v>-121.27691370371649</v>
      </c>
      <c r="I202">
        <f t="shared" si="92"/>
        <v>16.966978263459161</v>
      </c>
      <c r="J202">
        <f t="shared" si="92"/>
        <v>12.633660732446495</v>
      </c>
      <c r="K202">
        <f t="shared" si="92"/>
        <v>13.612845569465239</v>
      </c>
      <c r="L202">
        <f t="shared" si="92"/>
        <v>8.2824975432407442</v>
      </c>
      <c r="M202">
        <f t="shared" si="92"/>
        <v>12.567991061503147</v>
      </c>
      <c r="N202">
        <f t="shared" si="92"/>
        <v>11.666042120977362</v>
      </c>
      <c r="O202">
        <f t="shared" si="92"/>
        <v>5.9872951559837615</v>
      </c>
      <c r="P202">
        <f t="shared" si="92"/>
        <v>5.4763984014791722</v>
      </c>
      <c r="Q202">
        <f t="shared" si="92"/>
        <v>6.2893981465266986</v>
      </c>
      <c r="R202">
        <f t="shared" si="92"/>
        <v>8.1737825006412876</v>
      </c>
      <c r="S202">
        <f t="shared" si="92"/>
        <v>2.874983161367179</v>
      </c>
    </row>
    <row r="203" spans="1:19" x14ac:dyDescent="0.3">
      <c r="A203" s="6" t="s">
        <v>193</v>
      </c>
      <c r="B203">
        <f>B65/B34</f>
        <v>9.999545520393352E-2</v>
      </c>
      <c r="C203">
        <f t="shared" ref="C203:S203" si="93">C65/C34</f>
        <v>4.9197538868230736E-2</v>
      </c>
      <c r="D203">
        <f t="shared" si="93"/>
        <v>0.18856079849935045</v>
      </c>
      <c r="E203">
        <f t="shared" si="93"/>
        <v>0.13440178915661724</v>
      </c>
      <c r="F203">
        <f t="shared" si="93"/>
        <v>9.9970798747452655E-2</v>
      </c>
      <c r="G203">
        <f t="shared" si="93"/>
        <v>5.1737967035495686E-2</v>
      </c>
      <c r="H203">
        <f t="shared" si="93"/>
        <v>0.22933355426792115</v>
      </c>
      <c r="I203">
        <f t="shared" si="93"/>
        <v>0.17442689300032338</v>
      </c>
      <c r="J203">
        <f t="shared" si="93"/>
        <v>0.11532585127058234</v>
      </c>
      <c r="K203">
        <f t="shared" si="93"/>
        <v>5.5753899192813219E-2</v>
      </c>
      <c r="L203">
        <f t="shared" si="93"/>
        <v>0.22327659471141004</v>
      </c>
      <c r="M203">
        <f t="shared" si="93"/>
        <v>0.17080069661815417</v>
      </c>
      <c r="N203">
        <f t="shared" si="93"/>
        <v>0.11099730046929304</v>
      </c>
      <c r="O203">
        <f t="shared" si="93"/>
        <v>5.2812185488976655E-2</v>
      </c>
      <c r="P203">
        <f t="shared" si="93"/>
        <v>0.2224720393144185</v>
      </c>
      <c r="Q203">
        <f t="shared" si="93"/>
        <v>0.15879352006619901</v>
      </c>
      <c r="R203">
        <f t="shared" si="93"/>
        <v>0.10696753331466842</v>
      </c>
      <c r="S203">
        <f t="shared" si="93"/>
        <v>4.8386094979432699E-2</v>
      </c>
    </row>
    <row r="204" spans="1:19" x14ac:dyDescent="0.3">
      <c r="A204" s="6" t="s">
        <v>194</v>
      </c>
      <c r="B204">
        <f>(B130-B132)/B3</f>
        <v>0.15943024301331629</v>
      </c>
      <c r="C204">
        <f t="shared" ref="C204:S204" si="94">(C130-C132)/C3</f>
        <v>0.2825108019501239</v>
      </c>
      <c r="D204">
        <f t="shared" si="94"/>
        <v>3.8224334866697421E-2</v>
      </c>
      <c r="E204">
        <f t="shared" si="94"/>
        <v>4.9323881575028296E-2</v>
      </c>
      <c r="F204">
        <f t="shared" si="94"/>
        <v>1.0425468749951832E-2</v>
      </c>
      <c r="G204">
        <f t="shared" si="94"/>
        <v>0.14984565430909708</v>
      </c>
      <c r="H204">
        <f t="shared" si="94"/>
        <v>-4.6421278584632047E-2</v>
      </c>
      <c r="I204">
        <f t="shared" si="94"/>
        <v>0.35912843278798734</v>
      </c>
      <c r="J204">
        <f t="shared" si="94"/>
        <v>0.36464152523532706</v>
      </c>
      <c r="K204">
        <f t="shared" si="94"/>
        <v>0.24305947553895896</v>
      </c>
      <c r="L204">
        <f t="shared" si="94"/>
        <v>0.34138414953278867</v>
      </c>
      <c r="M204">
        <f t="shared" si="94"/>
        <v>0.40710241744054371</v>
      </c>
      <c r="N204">
        <f t="shared" si="94"/>
        <v>0.22216269974076439</v>
      </c>
      <c r="O204">
        <f t="shared" si="94"/>
        <v>0.42565061266564214</v>
      </c>
      <c r="P204">
        <f t="shared" si="94"/>
        <v>0.49213269040889962</v>
      </c>
      <c r="Q204">
        <f t="shared" si="94"/>
        <v>0.45096212070241537</v>
      </c>
      <c r="R204">
        <f t="shared" si="94"/>
        <v>0.47919416016845928</v>
      </c>
      <c r="S204">
        <f t="shared" si="94"/>
        <v>0.90607456623474203</v>
      </c>
    </row>
  </sheetData>
  <phoneticPr fontId="3" type="noConversion"/>
  <conditionalFormatting sqref="C137:S138 C139:T139 C140:S145 C146:U146 B1:B1048576 C134:S134 C132:S132 C147:S204">
    <cfRule type="duplicateValues" dxfId="0" priority="2"/>
  </conditionalFormatting>
  <pageMargins left="0.7" right="0.7" top="0.75" bottom="0.75" header="0.3" footer="0.3"/>
  <pageSetup orientation="portrait" r:id="rId1"/>
  <ignoredErrors>
    <ignoredError sqref="C125:C126 G125:G126 K125:K126 O125:O126 O130 K130:K131 G130:G131 C130:C131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46C51-8BD4-43E9-8FAF-5EF1AA1BC0FE}">
  <dimension ref="A1:Y72"/>
  <sheetViews>
    <sheetView topLeftCell="A52" workbookViewId="0">
      <selection activeCell="A71" sqref="A71:B71"/>
    </sheetView>
  </sheetViews>
  <sheetFormatPr defaultRowHeight="14.4" x14ac:dyDescent="0.3"/>
  <cols>
    <col min="1" max="1" width="34.5546875" bestFit="1" customWidth="1"/>
    <col min="2" max="2" width="16.109375" customWidth="1"/>
  </cols>
  <sheetData>
    <row r="1" spans="1:25" x14ac:dyDescent="0.3">
      <c r="A1" t="s">
        <v>112</v>
      </c>
      <c r="B1" t="s">
        <v>270</v>
      </c>
      <c r="C1" s="2">
        <v>45444</v>
      </c>
      <c r="D1" s="2">
        <v>45352</v>
      </c>
      <c r="E1" s="2">
        <v>45261</v>
      </c>
      <c r="F1" s="2">
        <v>45170</v>
      </c>
      <c r="G1" s="2">
        <v>45078</v>
      </c>
      <c r="H1" s="2">
        <v>44986</v>
      </c>
      <c r="I1" s="2">
        <v>44896</v>
      </c>
      <c r="J1" s="2">
        <v>44805</v>
      </c>
      <c r="K1" s="2">
        <v>44713</v>
      </c>
      <c r="L1" s="2">
        <v>44621</v>
      </c>
      <c r="M1" s="2">
        <v>44531</v>
      </c>
      <c r="N1" s="2">
        <v>44440</v>
      </c>
      <c r="O1" s="2">
        <v>44348</v>
      </c>
      <c r="P1" s="2">
        <v>44256</v>
      </c>
      <c r="Q1" s="2">
        <v>44166</v>
      </c>
      <c r="R1" s="2">
        <v>44075</v>
      </c>
      <c r="S1" s="2">
        <v>43983</v>
      </c>
      <c r="T1" s="2">
        <v>43891</v>
      </c>
      <c r="U1" t="s">
        <v>271</v>
      </c>
      <c r="V1" t="s">
        <v>274</v>
      </c>
      <c r="W1" t="s">
        <v>273</v>
      </c>
      <c r="X1" t="s">
        <v>275</v>
      </c>
      <c r="Y1" t="s">
        <v>272</v>
      </c>
    </row>
    <row r="2" spans="1:25" x14ac:dyDescent="0.3">
      <c r="A2" t="s">
        <v>113</v>
      </c>
      <c r="B2" t="s">
        <v>200</v>
      </c>
      <c r="C2">
        <v>9.6806489518642724</v>
      </c>
      <c r="D2">
        <v>9.094074458934271</v>
      </c>
      <c r="E2">
        <v>8.6539481521249844</v>
      </c>
      <c r="F2">
        <v>7.9191178388735137</v>
      </c>
      <c r="G2">
        <v>7.9969806430646964</v>
      </c>
      <c r="H2">
        <v>7.3519908919019592</v>
      </c>
      <c r="I2">
        <v>7.1204693901797835</v>
      </c>
      <c r="J2">
        <v>7.0550536583419357</v>
      </c>
      <c r="K2">
        <v>7.0324277278157545</v>
      </c>
      <c r="L2">
        <v>7.799097928227102</v>
      </c>
      <c r="M2">
        <v>10.714308781886507</v>
      </c>
      <c r="N2">
        <v>9.9116212827491594</v>
      </c>
      <c r="O2">
        <v>9.0417288687747916</v>
      </c>
      <c r="P2">
        <v>9.4641068923282479</v>
      </c>
      <c r="Q2">
        <v>73.059848531201752</v>
      </c>
      <c r="R2">
        <v>128.89052751747164</v>
      </c>
      <c r="S2">
        <v>153.36544947656807</v>
      </c>
      <c r="T2">
        <v>43.97431291586102</v>
      </c>
      <c r="U2">
        <f>MIN(C2:T2)</f>
        <v>7.0324277278157545</v>
      </c>
      <c r="V2">
        <f>_xlfn.QUARTILE.INC(C2:T2,1)</f>
        <v>7.8291029058887052</v>
      </c>
      <c r="W2">
        <f>MEDIAN(C2:T2)</f>
        <v>9.0679016638545313</v>
      </c>
      <c r="X2">
        <f>_xlfn.QUARTILE.INC(C2:T2,3)</f>
        <v>10.513636907102169</v>
      </c>
      <c r="Y2">
        <f>MAX(C2:T2)</f>
        <v>153.36544947656807</v>
      </c>
    </row>
    <row r="3" spans="1:25" x14ac:dyDescent="0.3">
      <c r="A3" t="s">
        <v>114</v>
      </c>
      <c r="B3" t="s">
        <v>201</v>
      </c>
      <c r="C3">
        <v>11.868306892985952</v>
      </c>
      <c r="D3">
        <v>3.9803712470412358</v>
      </c>
      <c r="E3">
        <v>4.5168745774006096</v>
      </c>
      <c r="F3">
        <v>17.402276810392483</v>
      </c>
      <c r="G3">
        <v>2.8334035693695045</v>
      </c>
      <c r="H3">
        <v>2.3630807658070601</v>
      </c>
      <c r="I3">
        <v>6.5789747513389445</v>
      </c>
      <c r="J3">
        <v>6.8814329527755032</v>
      </c>
      <c r="K3">
        <v>0.17194177687270615</v>
      </c>
      <c r="L3">
        <v>0.46812135828357027</v>
      </c>
      <c r="M3">
        <v>10.461398208512216</v>
      </c>
      <c r="N3">
        <v>7.2595989523819151</v>
      </c>
      <c r="O3">
        <v>8.4605041031652988</v>
      </c>
      <c r="P3">
        <v>-7.6116242088524277</v>
      </c>
      <c r="Q3">
        <v>36.466943021597928</v>
      </c>
      <c r="R3">
        <v>1.553383267741526</v>
      </c>
      <c r="S3">
        <v>2.086583852372502</v>
      </c>
      <c r="T3">
        <v>810.752427184466</v>
      </c>
      <c r="U3">
        <f t="shared" ref="U3:U65" si="0">MIN(C3:T3)</f>
        <v>-7.6116242088524277</v>
      </c>
      <c r="V3">
        <f t="shared" ref="V3:V65" si="1">_xlfn.QUARTILE.INC(C3:T3,1)</f>
        <v>2.1557080807311415</v>
      </c>
      <c r="W3">
        <f t="shared" ref="W3:W65" si="2">MEDIAN(C3:T3)</f>
        <v>5.547924664369777</v>
      </c>
      <c r="X3">
        <f t="shared" ref="X3:X65" si="3">_xlfn.QUARTILE.INC(C3:T3,3)</f>
        <v>9.9611746821754874</v>
      </c>
      <c r="Y3">
        <f t="shared" ref="Y3:Y65" si="4">MAX(C3:T3)</f>
        <v>810.752427184466</v>
      </c>
    </row>
    <row r="4" spans="1:25" x14ac:dyDescent="0.3">
      <c r="A4" t="s">
        <v>115</v>
      </c>
      <c r="B4" t="s">
        <v>202</v>
      </c>
      <c r="C4">
        <v>0.26287449919913275</v>
      </c>
      <c r="D4">
        <v>0.28832715228458172</v>
      </c>
      <c r="E4">
        <v>0.2879400532965683</v>
      </c>
      <c r="F4">
        <v>0.30783421009723355</v>
      </c>
      <c r="G4">
        <v>0.31852026587986387</v>
      </c>
      <c r="H4">
        <v>0.35395199594630311</v>
      </c>
      <c r="I4">
        <v>0.35376994929022965</v>
      </c>
      <c r="J4">
        <v>0.36435363010704869</v>
      </c>
      <c r="K4">
        <v>0.38190770297146148</v>
      </c>
      <c r="L4">
        <v>0.33879746254707693</v>
      </c>
      <c r="M4">
        <v>0.2406447401580066</v>
      </c>
      <c r="N4">
        <v>0.25376804908664474</v>
      </c>
      <c r="O4">
        <v>0.27541644925242681</v>
      </c>
      <c r="P4">
        <v>0.26623007156873835</v>
      </c>
      <c r="Q4">
        <v>3.9416398096320665E-2</v>
      </c>
      <c r="R4">
        <v>2.1383260742933674E-2</v>
      </c>
      <c r="S4">
        <v>1.5761246871067225E-2</v>
      </c>
      <c r="T4">
        <v>6.1656516440699506E-2</v>
      </c>
      <c r="U4">
        <f t="shared" si="0"/>
        <v>1.5761246871067225E-2</v>
      </c>
      <c r="V4">
        <f t="shared" si="1"/>
        <v>0.24392556739016613</v>
      </c>
      <c r="W4">
        <f t="shared" si="2"/>
        <v>0.28167825127449753</v>
      </c>
      <c r="X4">
        <f t="shared" si="3"/>
        <v>0.33372816338027367</v>
      </c>
      <c r="Y4">
        <f t="shared" si="4"/>
        <v>0.38190770297146148</v>
      </c>
    </row>
    <row r="5" spans="1:25" x14ac:dyDescent="0.3">
      <c r="A5" t="s">
        <v>116</v>
      </c>
      <c r="B5" t="s">
        <v>203</v>
      </c>
      <c r="C5">
        <v>2.1508421179683931E-2</v>
      </c>
      <c r="D5">
        <v>5.6032345888013209E-2</v>
      </c>
      <c r="E5">
        <v>2.6191971879698187E-2</v>
      </c>
      <c r="F5">
        <v>9.5259189974352034E-3</v>
      </c>
      <c r="G5">
        <v>5.9620283329330809E-2</v>
      </c>
      <c r="H5">
        <v>0.10061394060573289</v>
      </c>
      <c r="I5">
        <v>3.5693970531894388E-2</v>
      </c>
      <c r="J5">
        <v>3.544037700179771E-2</v>
      </c>
      <c r="K5">
        <v>-0.20176637021812671</v>
      </c>
      <c r="L5">
        <v>-0.23320265573275603</v>
      </c>
      <c r="M5">
        <v>1.6490581829890823E-2</v>
      </c>
      <c r="N5">
        <v>1.9204787301703205E-2</v>
      </c>
      <c r="O5">
        <v>1.9288902074789383E-2</v>
      </c>
      <c r="P5">
        <v>-1.9943741581767618E-2</v>
      </c>
      <c r="Q5">
        <v>7.9430193120607895E-3</v>
      </c>
      <c r="R5">
        <v>1.0599475206889591E-2</v>
      </c>
      <c r="S5">
        <v>2.9211693893350908E-2</v>
      </c>
      <c r="T5">
        <v>2.3667626105506486E-4</v>
      </c>
      <c r="U5">
        <f t="shared" si="0"/>
        <v>-0.23320265573275603</v>
      </c>
      <c r="V5">
        <f t="shared" si="1"/>
        <v>8.3387442334043934E-3</v>
      </c>
      <c r="W5">
        <f t="shared" si="2"/>
        <v>1.9246844688246292E-2</v>
      </c>
      <c r="X5">
        <f t="shared" si="3"/>
        <v>3.3883206224686012E-2</v>
      </c>
      <c r="Y5">
        <f t="shared" si="4"/>
        <v>0.10061394060573289</v>
      </c>
    </row>
    <row r="6" spans="1:25" x14ac:dyDescent="0.3">
      <c r="A6" t="s">
        <v>117</v>
      </c>
      <c r="B6" t="s">
        <v>204</v>
      </c>
      <c r="C6">
        <v>0.2329158233127622</v>
      </c>
      <c r="D6">
        <v>0.35786584402701083</v>
      </c>
      <c r="E6">
        <v>6.6093599276070739E-2</v>
      </c>
      <c r="F6">
        <v>5.9188998881663422E-2</v>
      </c>
      <c r="G6">
        <v>2.6145038057808163E-2</v>
      </c>
      <c r="H6">
        <v>0.15332559017310513</v>
      </c>
      <c r="I6">
        <v>-4.3844531702036005E-2</v>
      </c>
      <c r="J6">
        <v>0.32230519854481965</v>
      </c>
      <c r="K6">
        <v>0.35165130618834178</v>
      </c>
      <c r="L6">
        <v>0.28019692496729015</v>
      </c>
      <c r="M6">
        <v>0.58559416893356186</v>
      </c>
      <c r="N6">
        <v>0.61942884444053292</v>
      </c>
      <c r="O6">
        <v>0.26602171050863854</v>
      </c>
      <c r="P6">
        <v>0.56948270634821496</v>
      </c>
      <c r="Q6">
        <v>5.8445533966771475</v>
      </c>
      <c r="R6">
        <v>10.470966508956426</v>
      </c>
      <c r="S6">
        <v>10.015569282605643</v>
      </c>
      <c r="T6">
        <v>5.7105143748449079</v>
      </c>
      <c r="U6">
        <f t="shared" si="0"/>
        <v>-4.3844531702036005E-2</v>
      </c>
      <c r="V6">
        <f t="shared" si="1"/>
        <v>0.17322314845801939</v>
      </c>
      <c r="W6">
        <f t="shared" si="2"/>
        <v>0.33697825236658074</v>
      </c>
      <c r="X6">
        <f t="shared" si="3"/>
        <v>0.61097017556379019</v>
      </c>
      <c r="Y6">
        <f t="shared" si="4"/>
        <v>10.470966508956426</v>
      </c>
    </row>
    <row r="7" spans="1:25" x14ac:dyDescent="0.3">
      <c r="A7" t="s">
        <v>118</v>
      </c>
      <c r="B7" t="s">
        <v>205</v>
      </c>
      <c r="C7">
        <v>0.12583222161430371</v>
      </c>
      <c r="D7">
        <v>0.12660281835170006</v>
      </c>
      <c r="E7">
        <v>0.1424082850375995</v>
      </c>
      <c r="F7">
        <v>0.11259084960712448</v>
      </c>
      <c r="G7">
        <v>0.1228141832751982</v>
      </c>
      <c r="H7">
        <v>0.11180030266995766</v>
      </c>
      <c r="I7">
        <v>0.11813564300558092</v>
      </c>
      <c r="J7">
        <v>9.7684190162920514E-2</v>
      </c>
      <c r="K7">
        <v>0.11270499933382876</v>
      </c>
      <c r="L7">
        <v>0.1300217630599862</v>
      </c>
      <c r="M7">
        <v>0.13624249742403216</v>
      </c>
      <c r="N7">
        <v>0.12651584880860373</v>
      </c>
      <c r="O7">
        <v>0.11265710768405261</v>
      </c>
      <c r="P7">
        <v>0.12787995387166787</v>
      </c>
      <c r="Q7">
        <v>0.13918394155627062</v>
      </c>
      <c r="R7">
        <v>0.14424608265531663</v>
      </c>
      <c r="S7">
        <v>9.9158765140359817E-2</v>
      </c>
      <c r="T7">
        <v>0.24519989605644488</v>
      </c>
      <c r="U7">
        <f t="shared" si="0"/>
        <v>9.7684190162920514E-2</v>
      </c>
      <c r="V7">
        <f t="shared" si="1"/>
        <v>0.11266908059649665</v>
      </c>
      <c r="W7">
        <f t="shared" si="2"/>
        <v>0.12617403521145371</v>
      </c>
      <c r="X7">
        <f t="shared" si="3"/>
        <v>0.13468731383302068</v>
      </c>
      <c r="Y7">
        <f t="shared" si="4"/>
        <v>0.24519989605644488</v>
      </c>
    </row>
    <row r="8" spans="1:25" x14ac:dyDescent="0.3">
      <c r="A8" t="s">
        <v>119</v>
      </c>
      <c r="B8" t="s">
        <v>206</v>
      </c>
      <c r="C8">
        <v>5.3682442565806525</v>
      </c>
      <c r="D8">
        <v>4.7889495145747905</v>
      </c>
      <c r="E8">
        <v>6.7793523094952439</v>
      </c>
      <c r="F8">
        <v>4.5093159774448646</v>
      </c>
      <c r="G8">
        <v>4.7955291025237319</v>
      </c>
      <c r="H8">
        <v>4.7450459272062702</v>
      </c>
      <c r="I8">
        <v>5.0232192621103504</v>
      </c>
      <c r="J8">
        <v>5.1281517755001982</v>
      </c>
      <c r="K8">
        <v>5.5976156943962723</v>
      </c>
      <c r="L8">
        <v>3.3479316545206279</v>
      </c>
      <c r="M8">
        <v>5.1377986064582881</v>
      </c>
      <c r="N8">
        <v>5.7168270004718424</v>
      </c>
      <c r="O8">
        <v>5.238909956368401</v>
      </c>
      <c r="P8">
        <v>5.4846332129947264</v>
      </c>
      <c r="Q8">
        <v>4.8972446007403052</v>
      </c>
      <c r="R8">
        <v>7.4144960889692975</v>
      </c>
      <c r="S8">
        <v>3.0045606087598298</v>
      </c>
      <c r="T8">
        <v>4.5361197211266981</v>
      </c>
      <c r="U8">
        <f t="shared" si="0"/>
        <v>3.0045606087598298</v>
      </c>
      <c r="V8">
        <f t="shared" si="1"/>
        <v>4.7560218240483998</v>
      </c>
      <c r="W8">
        <f t="shared" si="2"/>
        <v>5.0756855188052743</v>
      </c>
      <c r="X8">
        <f t="shared" si="3"/>
        <v>5.4555359738912079</v>
      </c>
      <c r="Y8">
        <f t="shared" si="4"/>
        <v>7.4144960889692975</v>
      </c>
    </row>
    <row r="9" spans="1:25" x14ac:dyDescent="0.3">
      <c r="A9" t="s">
        <v>120</v>
      </c>
      <c r="B9" t="s">
        <v>207</v>
      </c>
      <c r="C9">
        <v>0.17294929972931439</v>
      </c>
      <c r="D9">
        <v>0.1194229118376858</v>
      </c>
      <c r="E9">
        <v>0.16957346324048939</v>
      </c>
      <c r="F9">
        <v>0.13074249267731919</v>
      </c>
      <c r="G9">
        <v>9.1310561924908662E-2</v>
      </c>
      <c r="H9">
        <v>8.8072292752641015E-2</v>
      </c>
      <c r="I9">
        <v>0.13524040815629002</v>
      </c>
      <c r="J9">
        <v>0.1674997211441259</v>
      </c>
      <c r="K9">
        <v>0.1520034602449524</v>
      </c>
      <c r="L9">
        <v>0.10676422062582797</v>
      </c>
      <c r="M9">
        <v>0.16758508256566579</v>
      </c>
      <c r="N9">
        <v>0.126078736977638</v>
      </c>
      <c r="O9">
        <v>0.1114124360737716</v>
      </c>
      <c r="P9">
        <v>0.10362093939573498</v>
      </c>
      <c r="Q9">
        <v>0.2473069107222321</v>
      </c>
      <c r="R9">
        <v>8.6397263986989585E-4</v>
      </c>
      <c r="S9">
        <v>1.4764039383672888E-2</v>
      </c>
      <c r="T9">
        <v>0.12569923067270489</v>
      </c>
      <c r="U9">
        <f t="shared" si="0"/>
        <v>8.6397263986989585E-4</v>
      </c>
      <c r="V9">
        <f t="shared" si="1"/>
        <v>0.10440675970325823</v>
      </c>
      <c r="W9">
        <f t="shared" si="2"/>
        <v>0.12588898382517144</v>
      </c>
      <c r="X9">
        <f t="shared" si="3"/>
        <v>0.16362565591933254</v>
      </c>
      <c r="Y9">
        <f t="shared" si="4"/>
        <v>0.2473069107222321</v>
      </c>
    </row>
    <row r="10" spans="1:25" x14ac:dyDescent="0.3">
      <c r="A10" t="s">
        <v>121</v>
      </c>
      <c r="B10" t="s">
        <v>208</v>
      </c>
      <c r="C10">
        <v>3.8198677074949567</v>
      </c>
      <c r="D10">
        <v>4.0553535453226681</v>
      </c>
      <c r="E10">
        <v>3.8504529920696577</v>
      </c>
      <c r="F10">
        <v>3.9486486768826938</v>
      </c>
      <c r="G10">
        <v>4.2988944978073906</v>
      </c>
      <c r="H10">
        <v>4.611777134644476</v>
      </c>
      <c r="I10">
        <v>4.4374763403110329</v>
      </c>
      <c r="J10">
        <v>4.5554448545593536</v>
      </c>
      <c r="K10">
        <v>4.8143642777184121</v>
      </c>
      <c r="L10">
        <v>4.4000584389923709</v>
      </c>
      <c r="M10">
        <v>3.7157285829910571</v>
      </c>
      <c r="N10">
        <v>3.7204603790109552</v>
      </c>
      <c r="O10">
        <v>3.7088297140795836</v>
      </c>
      <c r="P10">
        <v>3.7176029081041513</v>
      </c>
      <c r="Q10">
        <v>3.3419259807047874</v>
      </c>
      <c r="R10">
        <v>3.21253569536524</v>
      </c>
      <c r="S10">
        <v>2.9289116152859127</v>
      </c>
      <c r="T10">
        <v>2.8894790483929369</v>
      </c>
      <c r="U10">
        <f t="shared" si="0"/>
        <v>2.8894790483929369</v>
      </c>
      <c r="V10">
        <f t="shared" si="1"/>
        <v>3.7105544313074521</v>
      </c>
      <c r="W10">
        <f t="shared" si="2"/>
        <v>3.8351603497823072</v>
      </c>
      <c r="X10">
        <f t="shared" si="3"/>
        <v>4.3747674536961263</v>
      </c>
      <c r="Y10">
        <f t="shared" si="4"/>
        <v>4.8143642777184121</v>
      </c>
    </row>
    <row r="11" spans="1:25" x14ac:dyDescent="0.3">
      <c r="A11" t="s">
        <v>122</v>
      </c>
      <c r="B11" t="s">
        <v>209</v>
      </c>
      <c r="C11">
        <v>9.459311786893009</v>
      </c>
      <c r="D11">
        <v>9.1631633697350523</v>
      </c>
      <c r="E11">
        <v>10.572735303210989</v>
      </c>
      <c r="F11">
        <v>8.4631595693988686</v>
      </c>
      <c r="G11">
        <v>9.3352350225998624</v>
      </c>
      <c r="H11">
        <v>9.0000766142238096</v>
      </c>
      <c r="I11">
        <v>9.7659444547899401</v>
      </c>
      <c r="J11">
        <v>7.8026466693796994</v>
      </c>
      <c r="K11">
        <v>8.3019548513427583</v>
      </c>
      <c r="L11">
        <v>8.6662490019040597</v>
      </c>
      <c r="M11">
        <v>8.5635145492420772</v>
      </c>
      <c r="N11">
        <v>7.6490225662555762</v>
      </c>
      <c r="O11">
        <v>6.3254915417953512</v>
      </c>
      <c r="P11">
        <v>6.6281359512375833</v>
      </c>
      <c r="Q11">
        <v>6.4693657441707444</v>
      </c>
      <c r="R11">
        <v>5.8337544266726402</v>
      </c>
      <c r="S11">
        <v>3.6270191634912083</v>
      </c>
      <c r="T11">
        <v>8.5873298645127232</v>
      </c>
      <c r="U11">
        <f t="shared" si="0"/>
        <v>3.6270191634912083</v>
      </c>
      <c r="V11">
        <f t="shared" si="1"/>
        <v>6.8833576049920815</v>
      </c>
      <c r="W11">
        <f t="shared" si="2"/>
        <v>8.5133370593204738</v>
      </c>
      <c r="X11">
        <f t="shared" si="3"/>
        <v>9.1223916808572412</v>
      </c>
      <c r="Y11">
        <f t="shared" si="4"/>
        <v>10.572735303210989</v>
      </c>
    </row>
    <row r="12" spans="1:25" x14ac:dyDescent="0.3">
      <c r="A12" t="s">
        <v>123</v>
      </c>
      <c r="B12" t="s">
        <v>210</v>
      </c>
      <c r="C12">
        <v>-27.956667439687429</v>
      </c>
      <c r="D12">
        <v>-10.602428342887523</v>
      </c>
      <c r="E12">
        <v>4.3563534723991255</v>
      </c>
      <c r="F12">
        <v>-70.482447118544442</v>
      </c>
      <c r="G12">
        <v>-97.426911045638946</v>
      </c>
      <c r="H12">
        <v>-159.25499923303374</v>
      </c>
      <c r="I12">
        <v>-142.84729113623791</v>
      </c>
      <c r="J12">
        <v>-205.01417664400034</v>
      </c>
      <c r="K12">
        <v>-152.09986098673525</v>
      </c>
      <c r="L12">
        <v>-89.531286292154036</v>
      </c>
      <c r="M12">
        <v>-79.442945750906645</v>
      </c>
      <c r="N12">
        <v>-82.633729627527217</v>
      </c>
      <c r="O12">
        <v>-69.071511851933593</v>
      </c>
      <c r="P12">
        <v>-71.278922331836455</v>
      </c>
      <c r="Q12">
        <v>-38.782740784176539</v>
      </c>
      <c r="R12">
        <v>-40.560276077059363</v>
      </c>
      <c r="S12">
        <v>26.424102688335076</v>
      </c>
      <c r="T12">
        <v>-0.42753096394736939</v>
      </c>
      <c r="U12">
        <f t="shared" si="0"/>
        <v>-205.01417664400034</v>
      </c>
      <c r="V12">
        <f t="shared" si="1"/>
        <v>-95.453004857267715</v>
      </c>
      <c r="W12">
        <f t="shared" si="2"/>
        <v>-70.880684725190449</v>
      </c>
      <c r="X12">
        <f t="shared" si="3"/>
        <v>-30.663185775809708</v>
      </c>
      <c r="Y12">
        <f t="shared" si="4"/>
        <v>26.424102688335076</v>
      </c>
    </row>
    <row r="13" spans="1:25" x14ac:dyDescent="0.3">
      <c r="A13" t="s">
        <v>124</v>
      </c>
      <c r="B13" t="s">
        <v>211</v>
      </c>
      <c r="C13">
        <v>-1.1531191127101719</v>
      </c>
      <c r="D13">
        <v>-3.0550215318363581</v>
      </c>
      <c r="E13">
        <v>6.5688479817638328</v>
      </c>
      <c r="F13">
        <v>-0.50932197323479889</v>
      </c>
      <c r="G13">
        <v>-0.37113605665702093</v>
      </c>
      <c r="H13">
        <v>-0.24495141849716162</v>
      </c>
      <c r="I13">
        <v>-0.30715212241345002</v>
      </c>
      <c r="J13">
        <v>-0.24897687352542466</v>
      </c>
      <c r="K13">
        <v>-0.28228828143211704</v>
      </c>
      <c r="L13">
        <v>-0.36002840743454312</v>
      </c>
      <c r="M13">
        <v>-0.39476710845676521</v>
      </c>
      <c r="N13">
        <v>-0.41622468297695853</v>
      </c>
      <c r="O13">
        <v>-0.52657465495608535</v>
      </c>
      <c r="P13">
        <v>-0.47364158666721157</v>
      </c>
      <c r="Q13">
        <v>-0.9403839397444349</v>
      </c>
      <c r="R13">
        <v>-1.06303040822134</v>
      </c>
      <c r="S13">
        <v>2.0104132540833994</v>
      </c>
      <c r="T13">
        <v>-107.86929867582148</v>
      </c>
      <c r="U13">
        <f t="shared" si="0"/>
        <v>-107.86929867582148</v>
      </c>
      <c r="V13">
        <f t="shared" si="1"/>
        <v>-0.83693161854734754</v>
      </c>
      <c r="W13">
        <f t="shared" si="2"/>
        <v>-0.40549589571686184</v>
      </c>
      <c r="X13">
        <f t="shared" si="3"/>
        <v>-0.28850424167745026</v>
      </c>
      <c r="Y13">
        <f t="shared" si="4"/>
        <v>6.5688479817638328</v>
      </c>
    </row>
    <row r="14" spans="1:25" x14ac:dyDescent="0.3">
      <c r="A14" t="s">
        <v>125</v>
      </c>
      <c r="B14" t="s">
        <v>212</v>
      </c>
      <c r="C14">
        <v>101.19013688136981</v>
      </c>
      <c r="D14">
        <v>87.868385246072236</v>
      </c>
      <c r="E14">
        <v>73.403771842396424</v>
      </c>
      <c r="F14">
        <v>71.036162723843447</v>
      </c>
      <c r="G14">
        <v>85.83179880553908</v>
      </c>
      <c r="H14">
        <v>54.504189483190345</v>
      </c>
      <c r="I14">
        <v>52.605731205857069</v>
      </c>
      <c r="J14">
        <v>70.56480152941981</v>
      </c>
      <c r="K14">
        <v>89.994085349734604</v>
      </c>
      <c r="L14">
        <v>78.643154216290995</v>
      </c>
      <c r="M14">
        <v>86.225840315838965</v>
      </c>
      <c r="N14">
        <v>73.572156825239574</v>
      </c>
      <c r="O14">
        <v>109.90665283629247</v>
      </c>
      <c r="P14">
        <v>90.972470842690953</v>
      </c>
      <c r="Q14">
        <v>91.605814829989569</v>
      </c>
      <c r="R14">
        <v>122.98086235552498</v>
      </c>
      <c r="S14">
        <v>72.000253896252005</v>
      </c>
      <c r="T14">
        <v>35.326137587574117</v>
      </c>
      <c r="U14">
        <f t="shared" si="0"/>
        <v>35.326137587574117</v>
      </c>
      <c r="V14">
        <f t="shared" si="1"/>
        <v>71.277185516945593</v>
      </c>
      <c r="W14">
        <f t="shared" si="2"/>
        <v>82.23747651091503</v>
      </c>
      <c r="X14">
        <f t="shared" si="3"/>
        <v>90.727874469451862</v>
      </c>
      <c r="Y14">
        <f t="shared" si="4"/>
        <v>122.98086235552498</v>
      </c>
    </row>
    <row r="15" spans="1:25" x14ac:dyDescent="0.3">
      <c r="A15" t="s">
        <v>126</v>
      </c>
      <c r="B15" t="s">
        <v>213</v>
      </c>
      <c r="C15">
        <v>7.4689930523063817</v>
      </c>
      <c r="D15">
        <v>7.2280680519018539</v>
      </c>
      <c r="E15">
        <v>6.5885361516946039</v>
      </c>
      <c r="F15">
        <v>8.1482303295071468</v>
      </c>
      <c r="G15">
        <v>7.3700705379237297</v>
      </c>
      <c r="H15">
        <v>7.9150714381435874</v>
      </c>
      <c r="I15">
        <v>7.5294564794173482</v>
      </c>
      <c r="J15">
        <v>8.9526169836327902</v>
      </c>
      <c r="K15">
        <v>8.1504348517057927</v>
      </c>
      <c r="L15">
        <v>7.2444256974468937</v>
      </c>
      <c r="M15">
        <v>6.8776279433857441</v>
      </c>
      <c r="N15">
        <v>7.2663890102109239</v>
      </c>
      <c r="O15">
        <v>8.2117426222776189</v>
      </c>
      <c r="P15">
        <v>7.2188056774249914</v>
      </c>
      <c r="Q15">
        <v>6.964078358932027</v>
      </c>
      <c r="R15">
        <v>6.3837116777680594</v>
      </c>
      <c r="S15">
        <v>8.828215575029942</v>
      </c>
      <c r="T15">
        <v>7.1260289600979334</v>
      </c>
      <c r="U15">
        <f t="shared" si="0"/>
        <v>6.3837116777680594</v>
      </c>
      <c r="V15">
        <f t="shared" si="1"/>
        <v>7.1492231394296981</v>
      </c>
      <c r="W15">
        <f t="shared" si="2"/>
        <v>7.3182297740673263</v>
      </c>
      <c r="X15">
        <f t="shared" si="3"/>
        <v>8.0899406066662571</v>
      </c>
      <c r="Y15">
        <f t="shared" si="4"/>
        <v>8.9526169836327902</v>
      </c>
    </row>
    <row r="16" spans="1:25" x14ac:dyDescent="0.3">
      <c r="A16" t="s">
        <v>127</v>
      </c>
      <c r="B16" t="s">
        <v>214</v>
      </c>
      <c r="C16">
        <v>0.46625977926649848</v>
      </c>
      <c r="D16">
        <v>0.51126737726644667</v>
      </c>
      <c r="E16">
        <v>0.53859841333150738</v>
      </c>
      <c r="F16">
        <v>0.43694071333031204</v>
      </c>
      <c r="G16">
        <v>0.52550725268346676</v>
      </c>
      <c r="H16">
        <v>0.52038555804643682</v>
      </c>
      <c r="I16">
        <v>0.51850449796209375</v>
      </c>
      <c r="J16">
        <v>0.43768030470336594</v>
      </c>
      <c r="K16">
        <v>0.52120368117274707</v>
      </c>
      <c r="L16">
        <v>0.5537335232181968</v>
      </c>
      <c r="M16">
        <v>0.49384271322566237</v>
      </c>
      <c r="N16">
        <v>0.46376251886990755</v>
      </c>
      <c r="O16">
        <v>0.40664382255618792</v>
      </c>
      <c r="P16">
        <v>0.46735478299544764</v>
      </c>
      <c r="Q16">
        <v>0.43193109027986121</v>
      </c>
      <c r="R16">
        <v>0.44379268009977885</v>
      </c>
      <c r="S16">
        <v>0.28348057842901969</v>
      </c>
      <c r="T16">
        <v>0.35424998116161172</v>
      </c>
      <c r="U16">
        <f t="shared" si="0"/>
        <v>0.28348057842901969</v>
      </c>
      <c r="V16">
        <f t="shared" si="1"/>
        <v>0.43712561117357551</v>
      </c>
      <c r="W16">
        <f t="shared" si="2"/>
        <v>0.46680728113097303</v>
      </c>
      <c r="X16">
        <f t="shared" si="3"/>
        <v>0.519915293025351</v>
      </c>
      <c r="Y16">
        <f t="shared" si="4"/>
        <v>0.5537335232181968</v>
      </c>
    </row>
    <row r="17" spans="1:25" x14ac:dyDescent="0.3">
      <c r="A17" t="s">
        <v>128</v>
      </c>
      <c r="B17" t="s">
        <v>215</v>
      </c>
      <c r="C17">
        <v>9.951092857549936</v>
      </c>
      <c r="D17">
        <v>9.6407273984074866</v>
      </c>
      <c r="E17">
        <v>11.33885909081579</v>
      </c>
      <c r="F17">
        <v>8.7768326038291953</v>
      </c>
      <c r="G17">
        <v>9.852710434134714</v>
      </c>
      <c r="H17">
        <v>9.5038126337444542</v>
      </c>
      <c r="I17">
        <v>10.34923904273862</v>
      </c>
      <c r="J17">
        <v>8.2667037359451978</v>
      </c>
      <c r="K17">
        <v>8.8059966942443317</v>
      </c>
      <c r="L17">
        <v>9.1715628112002179</v>
      </c>
      <c r="M17">
        <v>9.0818790337707807</v>
      </c>
      <c r="N17">
        <v>8.1105480800331087</v>
      </c>
      <c r="O17">
        <v>6.691474754672524</v>
      </c>
      <c r="P17">
        <v>6.9922978519915624</v>
      </c>
      <c r="Q17">
        <v>6.8988767837838925</v>
      </c>
      <c r="R17">
        <v>6.1317932812185685</v>
      </c>
      <c r="S17">
        <v>3.8407759863358661</v>
      </c>
      <c r="T17">
        <v>9.5073798315860536</v>
      </c>
      <c r="U17">
        <f t="shared" si="0"/>
        <v>3.8407759863358661</v>
      </c>
      <c r="V17">
        <f t="shared" si="1"/>
        <v>7.271860409001949</v>
      </c>
      <c r="W17">
        <f t="shared" si="2"/>
        <v>8.9439378640075553</v>
      </c>
      <c r="X17">
        <f t="shared" si="3"/>
        <v>9.6073905067021279</v>
      </c>
      <c r="Y17">
        <f t="shared" si="4"/>
        <v>11.33885909081579</v>
      </c>
    </row>
    <row r="18" spans="1:25" x14ac:dyDescent="0.3">
      <c r="A18" t="s">
        <v>129</v>
      </c>
      <c r="B18" t="s">
        <v>216</v>
      </c>
      <c r="C18">
        <v>0.34369197329511952</v>
      </c>
      <c r="D18">
        <v>0.36385511032320522</v>
      </c>
      <c r="E18">
        <v>0.38351435749138602</v>
      </c>
      <c r="F18">
        <v>0.3024354139829537</v>
      </c>
      <c r="G18">
        <v>0.35812254283693212</v>
      </c>
      <c r="H18">
        <v>0.33619405111426975</v>
      </c>
      <c r="I18">
        <v>0.33507318801128788</v>
      </c>
      <c r="J18">
        <v>0.27820989685833536</v>
      </c>
      <c r="K18">
        <v>0.32215198051579325</v>
      </c>
      <c r="L18">
        <v>0.36613001062461881</v>
      </c>
      <c r="M18">
        <v>0.37500206182254786</v>
      </c>
      <c r="N18">
        <v>0.34607440921678284</v>
      </c>
      <c r="O18">
        <v>0.29464742483732875</v>
      </c>
      <c r="P18">
        <v>0.34293088567057745</v>
      </c>
      <c r="Q18">
        <v>0.41490592247521235</v>
      </c>
      <c r="R18">
        <v>0.43430294550539994</v>
      </c>
      <c r="S18">
        <v>0.27901257104924698</v>
      </c>
      <c r="T18">
        <v>0.33240816137400331</v>
      </c>
      <c r="U18">
        <f t="shared" si="0"/>
        <v>0.27820989685833536</v>
      </c>
      <c r="V18">
        <f t="shared" si="1"/>
        <v>0.32471602573034575</v>
      </c>
      <c r="W18">
        <f t="shared" si="2"/>
        <v>0.34331142948284848</v>
      </c>
      <c r="X18">
        <f t="shared" si="3"/>
        <v>0.36556128554926542</v>
      </c>
      <c r="Y18">
        <f t="shared" si="4"/>
        <v>0.43430294550539994</v>
      </c>
    </row>
    <row r="19" spans="1:25" x14ac:dyDescent="0.3">
      <c r="A19" t="s">
        <v>130</v>
      </c>
      <c r="B19" t="s">
        <v>217</v>
      </c>
      <c r="C19">
        <v>3.5714484562755744</v>
      </c>
      <c r="D19">
        <v>4.0858197883972807</v>
      </c>
      <c r="E19">
        <v>7.7899729570534575</v>
      </c>
      <c r="F19">
        <v>5.4390663729683748</v>
      </c>
      <c r="G19">
        <v>5.3332396538115852</v>
      </c>
      <c r="H19">
        <v>3.7564277361100178</v>
      </c>
      <c r="I19">
        <v>3.7465111086301217</v>
      </c>
      <c r="J19">
        <v>3.5269475329887645</v>
      </c>
      <c r="K19">
        <v>-25.434260507921476</v>
      </c>
      <c r="L19">
        <v>-8.3513057916983655</v>
      </c>
      <c r="M19">
        <v>5.2985572655531188</v>
      </c>
      <c r="N19">
        <v>6.4967398375002956</v>
      </c>
      <c r="O19">
        <v>5.5170747186083604</v>
      </c>
      <c r="P19">
        <v>5.9781260333408506</v>
      </c>
      <c r="Q19">
        <v>3.1073939162248245</v>
      </c>
      <c r="R19">
        <v>53.560232101994117</v>
      </c>
      <c r="S19">
        <v>14.01836586084414</v>
      </c>
      <c r="T19">
        <v>4.5529712900038914</v>
      </c>
      <c r="U19">
        <f t="shared" si="0"/>
        <v>-25.434260507921476</v>
      </c>
      <c r="V19">
        <f t="shared" si="1"/>
        <v>3.6152141193642113</v>
      </c>
      <c r="W19">
        <f t="shared" si="2"/>
        <v>4.9257642777785051</v>
      </c>
      <c r="X19">
        <f t="shared" si="3"/>
        <v>5.862863204657728</v>
      </c>
      <c r="Y19">
        <f t="shared" si="4"/>
        <v>53.560232101994117</v>
      </c>
    </row>
    <row r="20" spans="1:25" x14ac:dyDescent="0.3">
      <c r="A20" t="s">
        <v>131</v>
      </c>
      <c r="B20" t="s">
        <v>218</v>
      </c>
      <c r="C20">
        <v>0.89876476290445628</v>
      </c>
      <c r="D20">
        <v>0.96126819555629683</v>
      </c>
      <c r="E20">
        <v>1.0194186920309698</v>
      </c>
      <c r="F20">
        <v>0.75332527105097591</v>
      </c>
      <c r="G20">
        <v>0.68505784211307397</v>
      </c>
      <c r="H20">
        <v>0.59155054055229339</v>
      </c>
      <c r="I20">
        <v>0.59446753255153584</v>
      </c>
      <c r="J20">
        <v>0.50117873234638999</v>
      </c>
      <c r="K20">
        <v>0.55904948823291889</v>
      </c>
      <c r="L20">
        <v>0.68623996695710709</v>
      </c>
      <c r="M20">
        <v>0.68229400038989663</v>
      </c>
      <c r="N20">
        <v>0.67162140464835907</v>
      </c>
      <c r="O20">
        <v>0.77333816531891109</v>
      </c>
      <c r="P20">
        <v>0.71131466986007519</v>
      </c>
      <c r="Q20">
        <v>0.81587855824438438</v>
      </c>
      <c r="R20">
        <v>0.81630690465024458</v>
      </c>
      <c r="S20">
        <v>1.1054965129914214</v>
      </c>
      <c r="T20">
        <v>0.99826469931170947</v>
      </c>
      <c r="U20">
        <f t="shared" si="0"/>
        <v>0.50117873234638999</v>
      </c>
      <c r="V20">
        <f t="shared" si="1"/>
        <v>0.67428955358374343</v>
      </c>
      <c r="W20">
        <f t="shared" si="2"/>
        <v>0.73231997045552555</v>
      </c>
      <c r="X20">
        <f t="shared" si="3"/>
        <v>0.8781502983409033</v>
      </c>
      <c r="Y20">
        <f t="shared" si="4"/>
        <v>1.1054965129914214</v>
      </c>
    </row>
    <row r="21" spans="1:25" x14ac:dyDescent="0.3">
      <c r="A21" t="s">
        <v>132</v>
      </c>
      <c r="B21" t="s">
        <v>219</v>
      </c>
      <c r="C21">
        <v>1.0104935642627295</v>
      </c>
      <c r="D21">
        <v>1.0712371526285966</v>
      </c>
      <c r="E21">
        <v>1.1165541207144338</v>
      </c>
      <c r="F21">
        <v>0.87317334754918463</v>
      </c>
      <c r="G21">
        <v>0.78604820006343645</v>
      </c>
      <c r="H21">
        <v>0.70303192319736907</v>
      </c>
      <c r="I21">
        <v>0.68637816055523571</v>
      </c>
      <c r="J21">
        <v>0.57569358551949967</v>
      </c>
      <c r="K21">
        <v>0.63304309674210824</v>
      </c>
      <c r="L21">
        <v>0.77716280303001917</v>
      </c>
      <c r="M21">
        <v>0.74138757250596332</v>
      </c>
      <c r="N21">
        <v>0.74737568554986245</v>
      </c>
      <c r="O21">
        <v>0.88255024831638884</v>
      </c>
      <c r="P21">
        <v>0.82836722914579319</v>
      </c>
      <c r="Q21">
        <v>0.9333663556679882</v>
      </c>
      <c r="R21">
        <v>0.94386118407272224</v>
      </c>
      <c r="S21">
        <v>1.2401821884836142</v>
      </c>
      <c r="T21">
        <v>1.1403938255976001</v>
      </c>
      <c r="U21">
        <f t="shared" si="0"/>
        <v>0.57569358551949967</v>
      </c>
      <c r="V21">
        <f t="shared" si="1"/>
        <v>0.74288460076693807</v>
      </c>
      <c r="W21">
        <f t="shared" si="2"/>
        <v>0.85077028834748891</v>
      </c>
      <c r="X21">
        <f t="shared" si="3"/>
        <v>0.9938354692152277</v>
      </c>
      <c r="Y21">
        <f t="shared" si="4"/>
        <v>1.2401821884836142</v>
      </c>
    </row>
    <row r="22" spans="1:25" x14ac:dyDescent="0.3">
      <c r="A22" t="s">
        <v>133</v>
      </c>
      <c r="B22" t="s">
        <v>220</v>
      </c>
      <c r="C22">
        <v>0.24730033870791962</v>
      </c>
      <c r="D22">
        <v>0.25192370841241746</v>
      </c>
      <c r="E22">
        <v>0.22961149044025822</v>
      </c>
      <c r="F22">
        <v>0.21880604086790967</v>
      </c>
      <c r="G22">
        <v>0.20944595679919453</v>
      </c>
      <c r="H22">
        <v>0.14225705805779093</v>
      </c>
      <c r="I22">
        <v>0.11965381853933675</v>
      </c>
      <c r="J22">
        <v>0.16422485839881754</v>
      </c>
      <c r="K22">
        <v>0.12248247422836249</v>
      </c>
      <c r="L22">
        <v>0.14550113474742751</v>
      </c>
      <c r="M22">
        <v>0.17783162387840942</v>
      </c>
      <c r="N22">
        <v>0.15910475004718216</v>
      </c>
      <c r="O22">
        <v>0.15560104050200646</v>
      </c>
      <c r="P22">
        <v>0.15484936821616735</v>
      </c>
      <c r="Q22">
        <v>0.20146361867852758</v>
      </c>
      <c r="R22">
        <v>0.11130483783367966</v>
      </c>
      <c r="S22">
        <v>0.16609911744738629</v>
      </c>
      <c r="T22">
        <v>6.9936277273646028E-2</v>
      </c>
      <c r="U22">
        <f t="shared" si="0"/>
        <v>6.9936277273646028E-2</v>
      </c>
      <c r="V22">
        <f t="shared" si="1"/>
        <v>0.14306807723020007</v>
      </c>
      <c r="W22">
        <f t="shared" si="2"/>
        <v>0.16166480422299984</v>
      </c>
      <c r="X22">
        <f t="shared" si="3"/>
        <v>0.20745037226902779</v>
      </c>
      <c r="Y22">
        <f t="shared" si="4"/>
        <v>0.25192370841241746</v>
      </c>
    </row>
    <row r="23" spans="1:25" x14ac:dyDescent="0.3">
      <c r="A23" t="s">
        <v>134</v>
      </c>
      <c r="B23" t="s">
        <v>221</v>
      </c>
      <c r="C23">
        <v>0.62544370251404913</v>
      </c>
      <c r="D23">
        <v>0.64340260281412365</v>
      </c>
      <c r="E23">
        <v>0.97587615701385599</v>
      </c>
      <c r="F23">
        <v>0.84243895590665319</v>
      </c>
      <c r="G23">
        <v>0.96736346803950402</v>
      </c>
      <c r="H23">
        <v>0.98219689273478206</v>
      </c>
      <c r="I23">
        <v>1.032915423848197</v>
      </c>
      <c r="J23">
        <v>0.99221866901823874</v>
      </c>
      <c r="K23">
        <v>0.80407537327368073</v>
      </c>
      <c r="L23">
        <v>0.72240462527812399</v>
      </c>
      <c r="M23">
        <v>0.90176659790421843</v>
      </c>
      <c r="N23">
        <v>1.1129842016756628</v>
      </c>
      <c r="O23">
        <v>0.77871321157606865</v>
      </c>
      <c r="P23">
        <v>0.80672741283026839</v>
      </c>
      <c r="Q23">
        <v>0.99071616491084635</v>
      </c>
      <c r="R23">
        <v>0.94277398591059169</v>
      </c>
      <c r="S23">
        <v>0.99950336864558109</v>
      </c>
      <c r="T23">
        <v>1.0367629956091773</v>
      </c>
      <c r="U23">
        <f t="shared" si="0"/>
        <v>0.62544370251404913</v>
      </c>
      <c r="V23">
        <f t="shared" si="1"/>
        <v>0.80473838316282764</v>
      </c>
      <c r="W23">
        <f t="shared" si="2"/>
        <v>0.95506872697504785</v>
      </c>
      <c r="X23">
        <f t="shared" si="3"/>
        <v>0.9918430429913907</v>
      </c>
      <c r="Y23">
        <f t="shared" si="4"/>
        <v>1.1129842016756628</v>
      </c>
    </row>
    <row r="24" spans="1:25" x14ac:dyDescent="0.3">
      <c r="A24" t="s">
        <v>138</v>
      </c>
      <c r="B24" t="s">
        <v>222</v>
      </c>
      <c r="C24">
        <v>328.53500216952591</v>
      </c>
      <c r="D24">
        <v>310.72206373073726</v>
      </c>
      <c r="E24">
        <v>382.2905637428691</v>
      </c>
      <c r="F24">
        <v>239.33111511979172</v>
      </c>
      <c r="G24">
        <v>250.58874011522445</v>
      </c>
      <c r="H24">
        <v>269.85885263253874</v>
      </c>
      <c r="I24">
        <v>259.3619719910792</v>
      </c>
      <c r="J24">
        <v>260.46062615273269</v>
      </c>
      <c r="K24">
        <v>266.15948279739598</v>
      </c>
      <c r="L24">
        <v>161.65138821346798</v>
      </c>
      <c r="M24">
        <v>216.13654122156737</v>
      </c>
      <c r="N24">
        <v>238.2383857448167</v>
      </c>
      <c r="O24">
        <v>304.42518951846495</v>
      </c>
      <c r="P24">
        <v>237.51738842952358</v>
      </c>
      <c r="Q24">
        <v>207.52054122006629</v>
      </c>
      <c r="R24">
        <v>329.52838157824721</v>
      </c>
      <c r="S24">
        <v>205.13989769170081</v>
      </c>
      <c r="T24">
        <v>275.08866904576706</v>
      </c>
      <c r="U24">
        <f t="shared" si="0"/>
        <v>161.65138821346798</v>
      </c>
      <c r="V24">
        <f t="shared" si="1"/>
        <v>237.69763775834684</v>
      </c>
      <c r="W24">
        <f t="shared" si="2"/>
        <v>259.91129907190594</v>
      </c>
      <c r="X24">
        <f t="shared" si="3"/>
        <v>297.09105940029048</v>
      </c>
      <c r="Y24">
        <f t="shared" si="4"/>
        <v>382.2905637428691</v>
      </c>
    </row>
    <row r="25" spans="1:25" x14ac:dyDescent="0.3">
      <c r="A25" t="s">
        <v>139</v>
      </c>
      <c r="B25" t="s">
        <v>223</v>
      </c>
      <c r="C25">
        <v>-11.902800402283383</v>
      </c>
      <c r="D25">
        <v>-31.371054098738849</v>
      </c>
      <c r="E25">
        <v>77.216823294122705</v>
      </c>
      <c r="F25">
        <v>-4.6692723423982327</v>
      </c>
      <c r="G25">
        <v>-3.3752621005114678</v>
      </c>
      <c r="H25">
        <v>-2.0469703532389008</v>
      </c>
      <c r="I25">
        <v>-2.2480240877667494</v>
      </c>
      <c r="J25">
        <v>-1.5313878113705335</v>
      </c>
      <c r="K25">
        <v>-2.1174509269543518</v>
      </c>
      <c r="L25">
        <v>-3.7167587707251695</v>
      </c>
      <c r="M25">
        <v>-4.1997251595472118</v>
      </c>
      <c r="N25">
        <v>-4.0008578043468379</v>
      </c>
      <c r="O25">
        <v>-4.7578036685188501</v>
      </c>
      <c r="P25">
        <v>-4.6470867865923564</v>
      </c>
      <c r="Q25">
        <v>-8.4710189838189489</v>
      </c>
      <c r="R25">
        <v>-7.9359221459118325</v>
      </c>
      <c r="S25">
        <v>11.802733186689755</v>
      </c>
      <c r="T25">
        <v>-745.87003433055418</v>
      </c>
      <c r="U25">
        <f t="shared" si="0"/>
        <v>-745.87003433055418</v>
      </c>
      <c r="V25">
        <f t="shared" si="1"/>
        <v>-7.1413925265635871</v>
      </c>
      <c r="W25">
        <f t="shared" si="2"/>
        <v>-4.1002914819470249</v>
      </c>
      <c r="X25">
        <f t="shared" si="3"/>
        <v>-2.1500942171574513</v>
      </c>
      <c r="Y25">
        <f t="shared" si="4"/>
        <v>77.216823294122705</v>
      </c>
    </row>
    <row r="26" spans="1:25" x14ac:dyDescent="0.3">
      <c r="A26" t="s">
        <v>141</v>
      </c>
      <c r="B26" t="s">
        <v>224</v>
      </c>
      <c r="C26">
        <v>0.25138361898370415</v>
      </c>
      <c r="D26">
        <v>0.3413035497948963</v>
      </c>
      <c r="E26">
        <v>0.34522664362643163</v>
      </c>
      <c r="F26">
        <v>0.46354010431917891</v>
      </c>
      <c r="G26">
        <v>0.28987766658615866</v>
      </c>
      <c r="H26">
        <v>0.14225705805779093</v>
      </c>
      <c r="I26">
        <v>0.29751230587124272</v>
      </c>
      <c r="J26">
        <v>0.2809768064153228</v>
      </c>
      <c r="K26">
        <v>0.65997310457039016</v>
      </c>
      <c r="L26">
        <v>0.14550113474742751</v>
      </c>
      <c r="M26">
        <v>0.17783162387840942</v>
      </c>
      <c r="N26">
        <v>0.27049438461776809</v>
      </c>
      <c r="O26">
        <v>0.26160841198852458</v>
      </c>
      <c r="P26">
        <v>0.30493408316751019</v>
      </c>
      <c r="Q26">
        <v>0.54890134111138933</v>
      </c>
      <c r="R26">
        <v>0.11130483783367966</v>
      </c>
      <c r="S26">
        <v>0.16609911744738629</v>
      </c>
      <c r="T26">
        <v>6.9936277273646028E-2</v>
      </c>
      <c r="U26">
        <f t="shared" si="0"/>
        <v>6.9936277273646028E-2</v>
      </c>
      <c r="V26">
        <f t="shared" si="1"/>
        <v>0.16903224405514206</v>
      </c>
      <c r="W26">
        <f t="shared" si="2"/>
        <v>0.27573559551654547</v>
      </c>
      <c r="X26">
        <f t="shared" si="3"/>
        <v>0.33221118313804976</v>
      </c>
      <c r="Y26">
        <f t="shared" si="4"/>
        <v>0.65997310457039016</v>
      </c>
    </row>
    <row r="27" spans="1:25" x14ac:dyDescent="0.3">
      <c r="A27" t="s">
        <v>142</v>
      </c>
      <c r="B27" t="s">
        <v>225</v>
      </c>
      <c r="C27">
        <v>-0.10984284687104762</v>
      </c>
      <c r="D27">
        <v>-4.0226646092941756E-2</v>
      </c>
      <c r="E27">
        <v>1.7249146695644611E-2</v>
      </c>
      <c r="F27">
        <v>-0.21041008722738416</v>
      </c>
      <c r="G27">
        <v>-0.3331095525108112</v>
      </c>
      <c r="H27">
        <v>-0.46401722876844659</v>
      </c>
      <c r="I27">
        <v>-0.42132553211935819</v>
      </c>
      <c r="J27">
        <v>-0.49861379322887162</v>
      </c>
      <c r="K27">
        <v>-0.3983722086671575</v>
      </c>
      <c r="L27">
        <v>-0.29075741848883946</v>
      </c>
      <c r="M27">
        <v>-0.37105339700507578</v>
      </c>
      <c r="N27">
        <v>-0.3408626601548691</v>
      </c>
      <c r="O27">
        <v>-0.22485692022462853</v>
      </c>
      <c r="P27">
        <v>-0.27718435183945811</v>
      </c>
      <c r="Q27">
        <v>-1.2426162924737933</v>
      </c>
      <c r="R27">
        <v>-2.5593014607136215</v>
      </c>
      <c r="S27">
        <v>1.4998596097150076</v>
      </c>
      <c r="T27">
        <v>-7.2281895848842568E-3</v>
      </c>
      <c r="U27">
        <f t="shared" si="0"/>
        <v>-2.5593014607136215</v>
      </c>
      <c r="V27">
        <f t="shared" si="1"/>
        <v>-0.41558720125630799</v>
      </c>
      <c r="W27">
        <f t="shared" si="2"/>
        <v>-0.31193348549982536</v>
      </c>
      <c r="X27">
        <f t="shared" si="3"/>
        <v>-0.13498465696013176</v>
      </c>
      <c r="Y27">
        <f t="shared" si="4"/>
        <v>1.4998596097150076</v>
      </c>
    </row>
    <row r="28" spans="1:25" x14ac:dyDescent="0.3">
      <c r="A28" t="s">
        <v>143</v>
      </c>
      <c r="B28" t="s">
        <v>226</v>
      </c>
      <c r="C28">
        <v>0.22038837756551924</v>
      </c>
      <c r="D28">
        <v>0.29625921695146007</v>
      </c>
      <c r="E28">
        <v>6.2273609924745177E-2</v>
      </c>
      <c r="F28">
        <v>5.6824103132702843E-2</v>
      </c>
      <c r="G28">
        <v>2.5091780058684593E-2</v>
      </c>
      <c r="H28">
        <v>0.13317823907822643</v>
      </c>
      <c r="I28">
        <v>-4.1934994034491482E-2</v>
      </c>
      <c r="J28">
        <v>0.3045462067209776</v>
      </c>
      <c r="K28">
        <v>0.3365376713934492</v>
      </c>
      <c r="L28">
        <v>0.23983730030108466</v>
      </c>
      <c r="M28">
        <v>0.53356672845944286</v>
      </c>
      <c r="N28">
        <v>0.56813999378887647</v>
      </c>
      <c r="O28">
        <v>0.26965304592217904</v>
      </c>
      <c r="P28">
        <v>0.45051556019680011</v>
      </c>
      <c r="Q28">
        <v>2.8258816972226835</v>
      </c>
      <c r="R28">
        <v>3.0444650690599229</v>
      </c>
      <c r="S28">
        <v>2.0914737022633894</v>
      </c>
      <c r="T28">
        <v>4.5478976744973929</v>
      </c>
      <c r="U28">
        <f t="shared" si="0"/>
        <v>-4.1934994034491482E-2</v>
      </c>
      <c r="V28">
        <f t="shared" si="1"/>
        <v>0.15498077370004965</v>
      </c>
      <c r="W28">
        <f t="shared" si="2"/>
        <v>0.30040271183621881</v>
      </c>
      <c r="X28">
        <f t="shared" si="3"/>
        <v>0.5594966774565181</v>
      </c>
      <c r="Y28">
        <f t="shared" si="4"/>
        <v>4.5478976744973929</v>
      </c>
    </row>
    <row r="29" spans="1:25" x14ac:dyDescent="0.3">
      <c r="A29" t="s">
        <v>144</v>
      </c>
      <c r="B29" t="s">
        <v>227</v>
      </c>
      <c r="C29">
        <v>1.3407099060404397</v>
      </c>
      <c r="D29">
        <v>1.2640151189460891</v>
      </c>
      <c r="E29">
        <v>1.4708870093122</v>
      </c>
      <c r="F29">
        <v>1.5289431188779539</v>
      </c>
      <c r="G29">
        <v>1.551711788438416</v>
      </c>
      <c r="H29">
        <v>1.4133770100274292</v>
      </c>
      <c r="I29">
        <v>1.5335518010255669</v>
      </c>
      <c r="J29">
        <v>1.5241844077477231</v>
      </c>
      <c r="K29">
        <v>1.6701402819157836</v>
      </c>
      <c r="L29">
        <v>1.6993623380552563</v>
      </c>
      <c r="M29">
        <v>1.9555761579893354</v>
      </c>
      <c r="N29">
        <v>1.9561557402729435</v>
      </c>
      <c r="O29">
        <v>1.3944902203477567</v>
      </c>
      <c r="P29">
        <v>1.8860088790804725</v>
      </c>
      <c r="Q29">
        <v>1.9116769434364158</v>
      </c>
      <c r="R29">
        <v>1.7858162109529341</v>
      </c>
      <c r="S29">
        <v>1.126323946146683</v>
      </c>
      <c r="T29">
        <v>1.2965587031591079</v>
      </c>
      <c r="U29">
        <f t="shared" si="0"/>
        <v>1.126323946146683</v>
      </c>
      <c r="V29">
        <f t="shared" si="1"/>
        <v>1.399211917767675</v>
      </c>
      <c r="W29">
        <f t="shared" si="2"/>
        <v>1.5312474599517603</v>
      </c>
      <c r="X29">
        <f t="shared" si="3"/>
        <v>1.7642027427285147</v>
      </c>
      <c r="Y29">
        <f t="shared" si="4"/>
        <v>1.9561557402729435</v>
      </c>
    </row>
    <row r="30" spans="1:25" x14ac:dyDescent="0.3">
      <c r="A30" t="s">
        <v>145</v>
      </c>
      <c r="B30" t="s">
        <v>228</v>
      </c>
      <c r="C30">
        <v>0.2796990150919253</v>
      </c>
      <c r="D30">
        <v>0.35505548958413213</v>
      </c>
      <c r="E30">
        <v>0.33865049397774205</v>
      </c>
      <c r="F30">
        <v>0.61532530784807848</v>
      </c>
      <c r="G30">
        <v>0.42314334464375364</v>
      </c>
      <c r="H30">
        <v>0.24048166353626266</v>
      </c>
      <c r="I30">
        <v>0.50046855308359617</v>
      </c>
      <c r="J30">
        <v>0.56063194281980333</v>
      </c>
      <c r="K30">
        <v>1.1805271598700098</v>
      </c>
      <c r="L30">
        <v>0.21202661132169523</v>
      </c>
      <c r="M30">
        <v>0.26063782442288463</v>
      </c>
      <c r="N30">
        <v>0.40274830841549919</v>
      </c>
      <c r="O30">
        <v>0.33828462595097952</v>
      </c>
      <c r="P30">
        <v>0.42869083977629013</v>
      </c>
      <c r="Q30">
        <v>0.67277333809644502</v>
      </c>
      <c r="R30">
        <v>0.13635170448713699</v>
      </c>
      <c r="S30">
        <v>0.15024843180909719</v>
      </c>
      <c r="T30">
        <v>7.0057848706726961E-2</v>
      </c>
      <c r="U30">
        <f t="shared" si="0"/>
        <v>7.0057848706726961E-2</v>
      </c>
      <c r="V30">
        <f t="shared" si="1"/>
        <v>0.24552070375791815</v>
      </c>
      <c r="W30">
        <f t="shared" si="2"/>
        <v>0.34685299178093709</v>
      </c>
      <c r="X30">
        <f t="shared" si="3"/>
        <v>0.48252412475676965</v>
      </c>
      <c r="Y30">
        <f t="shared" si="4"/>
        <v>1.1805271598700098</v>
      </c>
    </row>
    <row r="31" spans="1:25" x14ac:dyDescent="0.3">
      <c r="A31" t="s">
        <v>146</v>
      </c>
      <c r="B31" t="s">
        <v>229</v>
      </c>
      <c r="C31">
        <v>-2.4428286612745582</v>
      </c>
      <c r="D31">
        <v>-6.5043111734850818</v>
      </c>
      <c r="E31">
        <v>11.824251091374379</v>
      </c>
      <c r="F31">
        <v>-0.88702252476428767</v>
      </c>
      <c r="G31">
        <v>-0.66502991598346806</v>
      </c>
      <c r="H31">
        <v>-0.34828558287271766</v>
      </c>
      <c r="I31">
        <v>-0.29505361011456521</v>
      </c>
      <c r="J31">
        <v>-0.32922585512704733</v>
      </c>
      <c r="K31">
        <v>-0.27776920756372814</v>
      </c>
      <c r="L31">
        <v>-0.46373380744620396</v>
      </c>
      <c r="M31">
        <v>-0.55973643587671851</v>
      </c>
      <c r="N31">
        <v>-0.48451620263740525</v>
      </c>
      <c r="O31">
        <v>-0.68648981298918565</v>
      </c>
      <c r="P31">
        <v>-0.53639500192514933</v>
      </c>
      <c r="Q31">
        <v>-1.0941887960334911</v>
      </c>
      <c r="R31">
        <v>-0.60592826105822306</v>
      </c>
      <c r="S31">
        <v>1.5744512566106612</v>
      </c>
      <c r="T31">
        <v>-40.302108876900441</v>
      </c>
      <c r="U31">
        <f t="shared" si="0"/>
        <v>-40.302108876900441</v>
      </c>
      <c r="V31">
        <f t="shared" si="1"/>
        <v>-0.83688934682051219</v>
      </c>
      <c r="W31">
        <f t="shared" si="2"/>
        <v>-0.54806571890093392</v>
      </c>
      <c r="X31">
        <f t="shared" si="3"/>
        <v>-0.33399078706346491</v>
      </c>
      <c r="Y31">
        <f t="shared" si="4"/>
        <v>11.824251091374379</v>
      </c>
    </row>
    <row r="32" spans="1:25" x14ac:dyDescent="0.3">
      <c r="A32" t="s">
        <v>150</v>
      </c>
      <c r="B32" t="s">
        <v>230</v>
      </c>
      <c r="C32">
        <v>0.91167844506195694</v>
      </c>
      <c r="D32">
        <v>0.91125850170610012</v>
      </c>
      <c r="E32">
        <v>0.92159938708214006</v>
      </c>
      <c r="F32">
        <v>0.90164860535661806</v>
      </c>
      <c r="G32">
        <v>0.90093523403355402</v>
      </c>
      <c r="H32">
        <v>0.89312400557562743</v>
      </c>
      <c r="I32">
        <v>0.87979219546984255</v>
      </c>
      <c r="J32">
        <v>0.86015400348160997</v>
      </c>
      <c r="K32">
        <v>0.88236710037257693</v>
      </c>
      <c r="L32">
        <v>0.91168820159087571</v>
      </c>
      <c r="M32">
        <v>0.91407818635240257</v>
      </c>
      <c r="N32">
        <v>0.90576932077418848</v>
      </c>
      <c r="O32">
        <v>0.90035258213499425</v>
      </c>
      <c r="P32">
        <v>0.90750503597484944</v>
      </c>
      <c r="Q32">
        <v>0.90008036555421611</v>
      </c>
      <c r="R32">
        <v>0.88187176209378992</v>
      </c>
      <c r="S32">
        <v>0.85445653076194628</v>
      </c>
      <c r="T32">
        <v>0.87365078015561459</v>
      </c>
      <c r="U32">
        <f t="shared" si="0"/>
        <v>0.85445653076194628</v>
      </c>
      <c r="V32">
        <f t="shared" si="1"/>
        <v>0.8819955966634867</v>
      </c>
      <c r="W32">
        <f t="shared" si="2"/>
        <v>0.90064390808427408</v>
      </c>
      <c r="X32">
        <f t="shared" si="3"/>
        <v>0.91032013527328748</v>
      </c>
      <c r="Y32">
        <f t="shared" si="4"/>
        <v>0.92159938708214006</v>
      </c>
    </row>
    <row r="33" spans="1:25" x14ac:dyDescent="0.3">
      <c r="A33" t="s">
        <v>154</v>
      </c>
      <c r="B33" t="s">
        <v>231</v>
      </c>
      <c r="C33">
        <v>0.17889327289474499</v>
      </c>
      <c r="D33">
        <v>0.13077808250322842</v>
      </c>
      <c r="E33">
        <v>0.15747524932397516</v>
      </c>
      <c r="F33">
        <v>0.12784203161652666</v>
      </c>
      <c r="G33">
        <v>8.6471006096955905E-2</v>
      </c>
      <c r="H33">
        <v>9.3851344600922801E-2</v>
      </c>
      <c r="I33">
        <v>0.12914170063466049</v>
      </c>
      <c r="J33">
        <v>0.16823300083603981</v>
      </c>
      <c r="K33">
        <v>0.1396774894013238</v>
      </c>
      <c r="L33">
        <v>9.4832614197128365E-2</v>
      </c>
      <c r="M33">
        <v>0.13271533341148695</v>
      </c>
      <c r="N33">
        <v>0.10522530975105852</v>
      </c>
      <c r="O33">
        <v>0.1265624497685334</v>
      </c>
      <c r="P33">
        <v>9.6324058310722049E-2</v>
      </c>
      <c r="Q33">
        <v>0.22945919333124251</v>
      </c>
      <c r="R33">
        <v>8.8195397054762013E-4</v>
      </c>
      <c r="S33">
        <v>2.1176577884047282E-2</v>
      </c>
      <c r="T33">
        <v>0.15775047687807112</v>
      </c>
      <c r="U33">
        <f t="shared" si="0"/>
        <v>8.8195397054762013E-4</v>
      </c>
      <c r="V33">
        <f t="shared" si="1"/>
        <v>9.5205475225526789E-2</v>
      </c>
      <c r="W33">
        <f t="shared" si="2"/>
        <v>0.12849186612559357</v>
      </c>
      <c r="X33">
        <f t="shared" si="3"/>
        <v>0.15302580934331234</v>
      </c>
      <c r="Y33">
        <f t="shared" si="4"/>
        <v>0.22945919333124251</v>
      </c>
    </row>
    <row r="34" spans="1:25" x14ac:dyDescent="0.3">
      <c r="A34" t="s">
        <v>156</v>
      </c>
      <c r="B34" t="s">
        <v>232</v>
      </c>
      <c r="C34">
        <v>8.3410737932165274E-2</v>
      </c>
      <c r="D34">
        <v>6.6862567245360577E-2</v>
      </c>
      <c r="E34">
        <v>8.481591942487654E-2</v>
      </c>
      <c r="F34">
        <v>5.5859388488121463E-2</v>
      </c>
      <c r="G34">
        <v>4.5441140850786606E-2</v>
      </c>
      <c r="H34">
        <v>4.8838884333559658E-2</v>
      </c>
      <c r="I34">
        <v>6.6960552653545627E-2</v>
      </c>
      <c r="J34">
        <v>7.3632271067079522E-2</v>
      </c>
      <c r="K34">
        <v>7.2800421652937319E-2</v>
      </c>
      <c r="L34">
        <v>5.2511997575367883E-2</v>
      </c>
      <c r="M34">
        <v>6.5540500338577112E-2</v>
      </c>
      <c r="N34">
        <v>4.8799554699017145E-2</v>
      </c>
      <c r="O34">
        <v>5.1465838365951949E-2</v>
      </c>
      <c r="P34">
        <v>4.5017509369048352E-2</v>
      </c>
      <c r="Q34">
        <v>9.9110559550301028E-2</v>
      </c>
      <c r="R34">
        <v>3.9140471631396976E-4</v>
      </c>
      <c r="S34">
        <v>6.0031485477169098E-3</v>
      </c>
      <c r="T34">
        <v>5.5883103462291951E-2</v>
      </c>
      <c r="U34">
        <f t="shared" si="0"/>
        <v>3.9140471631396976E-4</v>
      </c>
      <c r="V34">
        <f t="shared" si="1"/>
        <v>4.8809387107652771E-2</v>
      </c>
      <c r="W34">
        <f t="shared" si="2"/>
        <v>5.5871245975206707E-2</v>
      </c>
      <c r="X34">
        <f t="shared" si="3"/>
        <v>7.1340454403089393E-2</v>
      </c>
      <c r="Y34">
        <f t="shared" si="4"/>
        <v>9.9110559550301028E-2</v>
      </c>
    </row>
    <row r="35" spans="1:25" x14ac:dyDescent="0.3">
      <c r="A35" t="s">
        <v>157</v>
      </c>
      <c r="B35" t="s">
        <v>233</v>
      </c>
      <c r="C35">
        <v>2.1836027925392597E-2</v>
      </c>
      <c r="D35">
        <v>1.6487481670365831E-2</v>
      </c>
      <c r="E35">
        <v>2.2027517177735271E-2</v>
      </c>
      <c r="F35">
        <v>1.4146456942383716E-2</v>
      </c>
      <c r="G35">
        <v>1.0570424762450768E-2</v>
      </c>
      <c r="H35">
        <v>1.0590035664705786E-2</v>
      </c>
      <c r="I35">
        <v>1.5089782461544845E-2</v>
      </c>
      <c r="J35">
        <v>1.6163574232137632E-2</v>
      </c>
      <c r="K35">
        <v>1.5121502539778389E-2</v>
      </c>
      <c r="L35">
        <v>1.1934386395875532E-2</v>
      </c>
      <c r="M35">
        <v>1.763866732317107E-2</v>
      </c>
      <c r="N35">
        <v>1.3116536591632777E-2</v>
      </c>
      <c r="O35">
        <v>1.3876570868318814E-2</v>
      </c>
      <c r="P35">
        <v>1.2109283988053937E-2</v>
      </c>
      <c r="Q35">
        <v>2.9656718946659423E-2</v>
      </c>
      <c r="R35">
        <v>1.2183669021286008E-4</v>
      </c>
      <c r="S35">
        <v>2.0496175153892097E-3</v>
      </c>
      <c r="T35">
        <v>1.9340200266678823E-2</v>
      </c>
      <c r="U35">
        <f t="shared" si="0"/>
        <v>1.2183669021286008E-4</v>
      </c>
      <c r="V35">
        <f t="shared" si="1"/>
        <v>1.1978110793920133E-2</v>
      </c>
      <c r="W35">
        <f t="shared" si="2"/>
        <v>1.4618119701964281E-2</v>
      </c>
      <c r="X35">
        <f t="shared" si="3"/>
        <v>1.735087090996976E-2</v>
      </c>
      <c r="Y35">
        <f t="shared" si="4"/>
        <v>2.9656718946659423E-2</v>
      </c>
    </row>
    <row r="36" spans="1:25" x14ac:dyDescent="0.3">
      <c r="A36" t="s">
        <v>158</v>
      </c>
      <c r="B36" t="s">
        <v>234</v>
      </c>
      <c r="C36">
        <v>8.6315188837690027</v>
      </c>
      <c r="D36">
        <v>1.6764892461608862</v>
      </c>
      <c r="E36">
        <v>1.4128423632826896</v>
      </c>
      <c r="F36">
        <v>-1.3407990720305647</v>
      </c>
      <c r="G36">
        <v>-0.4645873836608066</v>
      </c>
      <c r="H36">
        <v>-0.25047147271749537</v>
      </c>
      <c r="I36">
        <v>-0.37753050083174661</v>
      </c>
      <c r="J36">
        <v>-0.31974194240648096</v>
      </c>
      <c r="K36">
        <v>-0.39517717859737739</v>
      </c>
      <c r="L36">
        <v>-0.61172996716818595</v>
      </c>
      <c r="M36">
        <v>-1.1062101791529646</v>
      </c>
      <c r="N36">
        <v>-0.87283559792274312</v>
      </c>
      <c r="O36">
        <v>-2.2820570879959425</v>
      </c>
      <c r="P36">
        <v>-1.4505096973182079</v>
      </c>
      <c r="Q36">
        <v>6.3828668835798457</v>
      </c>
      <c r="R36">
        <v>2.0354501702077709E-2</v>
      </c>
      <c r="S36">
        <v>5.96119779835848E-2</v>
      </c>
      <c r="T36">
        <v>0.68124936109312706</v>
      </c>
      <c r="U36">
        <f t="shared" si="0"/>
        <v>-2.2820570879959425</v>
      </c>
      <c r="V36">
        <f t="shared" si="1"/>
        <v>-0.80755919023410383</v>
      </c>
      <c r="W36">
        <f t="shared" si="2"/>
        <v>-0.34863622161911378</v>
      </c>
      <c r="X36">
        <f t="shared" si="3"/>
        <v>0.52584001531574154</v>
      </c>
      <c r="Y36">
        <f t="shared" si="4"/>
        <v>8.6315188837690027</v>
      </c>
    </row>
    <row r="37" spans="1:25" x14ac:dyDescent="0.3">
      <c r="A37" t="s">
        <v>159</v>
      </c>
      <c r="B37" t="s">
        <v>235</v>
      </c>
      <c r="C37">
        <v>0.25526854334408783</v>
      </c>
      <c r="D37">
        <v>0.22302953847691701</v>
      </c>
      <c r="E37">
        <v>0.1183058519154004</v>
      </c>
      <c r="F37">
        <v>0.16577267926674383</v>
      </c>
      <c r="G37">
        <v>0.16892832359214707</v>
      </c>
      <c r="H37">
        <v>0.23775886781746136</v>
      </c>
      <c r="I37">
        <v>0.23482973090436951</v>
      </c>
      <c r="J37">
        <v>0.24388057815895786</v>
      </c>
      <c r="K37">
        <v>-3.469206820846097E-2</v>
      </c>
      <c r="L37">
        <v>-0.10916714395695358</v>
      </c>
      <c r="M37">
        <v>0.172514543212544</v>
      </c>
      <c r="N37">
        <v>0.13941905377616209</v>
      </c>
      <c r="O37">
        <v>0.16319383514930921</v>
      </c>
      <c r="P37">
        <v>0.15180426623887922</v>
      </c>
      <c r="Q37">
        <v>0.28965763267237277</v>
      </c>
      <c r="R37">
        <v>1.646504743322344E-2</v>
      </c>
      <c r="S37">
        <v>6.0952648778314425E-2</v>
      </c>
      <c r="T37">
        <v>0.19188585310733813</v>
      </c>
      <c r="U37">
        <f t="shared" si="0"/>
        <v>-0.10916714395695358</v>
      </c>
      <c r="V37">
        <f t="shared" si="1"/>
        <v>0.12358415238059083</v>
      </c>
      <c r="W37">
        <f t="shared" si="2"/>
        <v>0.16735050142944546</v>
      </c>
      <c r="X37">
        <f t="shared" si="3"/>
        <v>0.23187968279750637</v>
      </c>
      <c r="Y37">
        <f t="shared" si="4"/>
        <v>0.28965763267237277</v>
      </c>
    </row>
    <row r="38" spans="1:25" x14ac:dyDescent="0.3">
      <c r="A38" t="s">
        <v>160</v>
      </c>
      <c r="B38" t="s">
        <v>236</v>
      </c>
      <c r="C38">
        <v>3.8029384842223186E-2</v>
      </c>
      <c r="D38">
        <v>3.4428251595827158E-2</v>
      </c>
      <c r="E38">
        <v>1.9803751736918222E-2</v>
      </c>
      <c r="F38">
        <v>2.2506925509465724E-2</v>
      </c>
      <c r="G38">
        <v>2.5899161871374581E-2</v>
      </c>
      <c r="H38">
        <v>3.472529975212426E-2</v>
      </c>
      <c r="I38">
        <v>3.5773230332617187E-2</v>
      </c>
      <c r="J38">
        <v>3.1160487203614667E-2</v>
      </c>
      <c r="K38">
        <v>-4.814729252083573E-3</v>
      </c>
      <c r="L38">
        <v>-1.6892019527129994E-2</v>
      </c>
      <c r="M38">
        <v>2.7858380571501095E-2</v>
      </c>
      <c r="N38">
        <v>2.1198100185058071E-2</v>
      </c>
      <c r="O38">
        <v>2.2122411426561576E-2</v>
      </c>
      <c r="P38">
        <v>2.320334711549429E-2</v>
      </c>
      <c r="Q38">
        <v>4.5351185697207794E-2</v>
      </c>
      <c r="R38">
        <v>2.8492316144400035E-3</v>
      </c>
      <c r="S38">
        <v>7.4862136801141007E-3</v>
      </c>
      <c r="T38">
        <v>2.97449722376994E-2</v>
      </c>
      <c r="U38">
        <f t="shared" si="0"/>
        <v>-1.6892019527129994E-2</v>
      </c>
      <c r="V38">
        <f t="shared" si="1"/>
        <v>2.0152338848953184E-2</v>
      </c>
      <c r="W38">
        <f t="shared" si="2"/>
        <v>2.4551254493434434E-2</v>
      </c>
      <c r="X38">
        <f t="shared" si="3"/>
        <v>3.3611310497774036E-2</v>
      </c>
      <c r="Y38">
        <f t="shared" si="4"/>
        <v>4.5351185697207794E-2</v>
      </c>
    </row>
    <row r="39" spans="1:25" x14ac:dyDescent="0.3">
      <c r="A39" t="s">
        <v>161</v>
      </c>
      <c r="B39" t="s">
        <v>237</v>
      </c>
      <c r="C39">
        <v>0.26079020784220791</v>
      </c>
      <c r="D39">
        <v>1.372927778747512</v>
      </c>
      <c r="E39">
        <v>0.14316815223542728</v>
      </c>
      <c r="F39">
        <v>0.40914379528177308</v>
      </c>
      <c r="G39">
        <v>0.83263390534078074</v>
      </c>
      <c r="H39">
        <v>1.4785681250946903</v>
      </c>
      <c r="I39">
        <v>1.4212183936147857</v>
      </c>
      <c r="J39">
        <v>1.0455084105876924</v>
      </c>
      <c r="K39">
        <v>-0.67560072732014398</v>
      </c>
      <c r="L39">
        <v>1.0244217424058226</v>
      </c>
      <c r="M39">
        <v>1.8679310806935736</v>
      </c>
      <c r="N39">
        <v>1.9019169563427865</v>
      </c>
      <c r="O39">
        <v>1.8394676107374826</v>
      </c>
      <c r="P39">
        <v>2.2665244280421528</v>
      </c>
      <c r="Q39">
        <v>1.8402019929182656</v>
      </c>
      <c r="R39">
        <v>81.628892733564015</v>
      </c>
      <c r="S39">
        <v>6.9863870424117591</v>
      </c>
      <c r="T39">
        <v>1.8400035012911011</v>
      </c>
      <c r="U39">
        <f t="shared" si="0"/>
        <v>-0.67560072732014398</v>
      </c>
      <c r="V39">
        <f t="shared" si="1"/>
        <v>0.88058086460704121</v>
      </c>
      <c r="W39">
        <f t="shared" si="2"/>
        <v>1.449893259354738</v>
      </c>
      <c r="X39">
        <f t="shared" si="3"/>
        <v>1.8609988087497467</v>
      </c>
      <c r="Y39">
        <f t="shared" si="4"/>
        <v>81.628892733564015</v>
      </c>
    </row>
    <row r="40" spans="1:25" x14ac:dyDescent="0.3">
      <c r="A40" t="s">
        <v>162</v>
      </c>
      <c r="B40" t="s">
        <v>238</v>
      </c>
      <c r="C40">
        <v>0.27999844103667493</v>
      </c>
      <c r="D40">
        <v>0.24474892476651888</v>
      </c>
      <c r="E40">
        <v>0.1283701503860224</v>
      </c>
      <c r="F40">
        <v>0.18385508310211138</v>
      </c>
      <c r="G40">
        <v>0.18750329347853609</v>
      </c>
      <c r="H40">
        <v>0.26621036533915959</v>
      </c>
      <c r="I40">
        <v>0.26691499664754526</v>
      </c>
      <c r="J40">
        <v>0.28353129459586596</v>
      </c>
      <c r="K40">
        <v>-3.9317046378783096E-2</v>
      </c>
      <c r="L40">
        <v>-0.11974175355835398</v>
      </c>
      <c r="M40">
        <v>0.18873062040891417</v>
      </c>
      <c r="N40">
        <v>0.15392335617748285</v>
      </c>
      <c r="O40">
        <v>0.18125547522985919</v>
      </c>
      <c r="P40">
        <v>0.16727650009766593</v>
      </c>
      <c r="Q40">
        <v>0.32181307776224938</v>
      </c>
      <c r="R40">
        <v>1.8670568829793566E-2</v>
      </c>
      <c r="S40">
        <v>7.1334990820376781E-2</v>
      </c>
      <c r="T40">
        <v>0.21963679019797755</v>
      </c>
      <c r="U40">
        <f t="shared" si="0"/>
        <v>-0.11974175355835398</v>
      </c>
      <c r="V40">
        <f t="shared" si="1"/>
        <v>0.13475845183388752</v>
      </c>
      <c r="W40">
        <f t="shared" si="2"/>
        <v>0.18567918829032373</v>
      </c>
      <c r="X40">
        <f t="shared" si="3"/>
        <v>0.2608450051959994</v>
      </c>
      <c r="Y40">
        <f t="shared" si="4"/>
        <v>0.32181307776224938</v>
      </c>
    </row>
    <row r="41" spans="1:25" x14ac:dyDescent="0.3">
      <c r="A41" t="s">
        <v>163</v>
      </c>
      <c r="B41" t="s">
        <v>239</v>
      </c>
      <c r="C41">
        <v>0.23213845361675473</v>
      </c>
      <c r="D41">
        <v>0.16380581745505171</v>
      </c>
      <c r="E41">
        <v>0.20824519339440972</v>
      </c>
      <c r="F41">
        <v>0.12473139724183308</v>
      </c>
      <c r="G41">
        <v>9.6501232917606511E-2</v>
      </c>
      <c r="H41">
        <v>8.8531814234544648E-2</v>
      </c>
      <c r="I41">
        <v>0.12153145521563864</v>
      </c>
      <c r="J41">
        <v>0.12763144339394289</v>
      </c>
      <c r="K41">
        <v>0.11705431441108874</v>
      </c>
      <c r="L41">
        <v>0.10168466407563963</v>
      </c>
      <c r="M41">
        <v>0.20598845941501581</v>
      </c>
      <c r="N41">
        <v>0.14293873425979725</v>
      </c>
      <c r="O41">
        <v>0.13491262433282214</v>
      </c>
      <c r="P41">
        <v>0.1235800022269235</v>
      </c>
      <c r="Q41">
        <v>2.3400188786509073</v>
      </c>
      <c r="R41">
        <v>1.6775686863519775E-2</v>
      </c>
      <c r="S41">
        <v>0.34325564205773418</v>
      </c>
      <c r="T41">
        <v>0.83114478296737204</v>
      </c>
      <c r="U41">
        <f t="shared" si="0"/>
        <v>1.6775686863519775E-2</v>
      </c>
      <c r="V41">
        <f t="shared" si="1"/>
        <v>0.11817359961222622</v>
      </c>
      <c r="W41">
        <f t="shared" si="2"/>
        <v>0.13127203386338251</v>
      </c>
      <c r="X41">
        <f t="shared" si="3"/>
        <v>0.20768100989956123</v>
      </c>
      <c r="Y41">
        <f t="shared" si="4"/>
        <v>2.3400188786509073</v>
      </c>
    </row>
    <row r="42" spans="1:25" x14ac:dyDescent="0.3">
      <c r="A42" t="s">
        <v>164</v>
      </c>
      <c r="B42" t="s">
        <v>240</v>
      </c>
      <c r="C42">
        <v>0.17814681507362828</v>
      </c>
      <c r="D42">
        <v>0.28358112001387425</v>
      </c>
      <c r="E42">
        <v>4.9622638960892841E-2</v>
      </c>
      <c r="F42">
        <v>6.0245585916105258E-2</v>
      </c>
      <c r="G42">
        <v>2.3253840452607786E-2</v>
      </c>
      <c r="H42">
        <v>0.16142432768082954</v>
      </c>
      <c r="I42">
        <v>-4.6291014357020467E-2</v>
      </c>
      <c r="J42">
        <v>0.42210241410633609</v>
      </c>
      <c r="K42">
        <v>0.41687883581618962</v>
      </c>
      <c r="L42">
        <v>0.25927950301167818</v>
      </c>
      <c r="M42">
        <v>0.37578501818409915</v>
      </c>
      <c r="N42">
        <v>0.45421228850008188</v>
      </c>
      <c r="O42">
        <v>0.24865907099916415</v>
      </c>
      <c r="P42">
        <v>0.44211072260748574</v>
      </c>
      <c r="Q42">
        <v>0.55523729814291245</v>
      </c>
      <c r="R42">
        <v>0.51554660038279043</v>
      </c>
      <c r="S42">
        <v>0.56577328908080848</v>
      </c>
      <c r="T42">
        <v>1.0592111276152678</v>
      </c>
      <c r="U42">
        <f t="shared" si="0"/>
        <v>-4.6291014357020467E-2</v>
      </c>
      <c r="V42">
        <f t="shared" si="1"/>
        <v>0.16560494952902921</v>
      </c>
      <c r="W42">
        <f t="shared" si="2"/>
        <v>0.3296830690989867</v>
      </c>
      <c r="X42">
        <f t="shared" si="3"/>
        <v>0.45118689702693282</v>
      </c>
      <c r="Y42">
        <f t="shared" si="4"/>
        <v>1.0592111276152678</v>
      </c>
    </row>
    <row r="43" spans="1:25" x14ac:dyDescent="0.3">
      <c r="A43" t="s">
        <v>165</v>
      </c>
      <c r="B43" t="s">
        <v>241</v>
      </c>
      <c r="C43">
        <v>8.8476755883920011E-2</v>
      </c>
      <c r="D43">
        <v>6.5410892694129877E-2</v>
      </c>
      <c r="E43">
        <v>8.7416707136290808E-2</v>
      </c>
      <c r="F43">
        <v>5.9205906771246368E-2</v>
      </c>
      <c r="G43">
        <v>4.72489726838035E-2</v>
      </c>
      <c r="H43">
        <v>4.7449116697248779E-2</v>
      </c>
      <c r="I43">
        <v>6.8577344384473271E-2</v>
      </c>
      <c r="J43">
        <v>7.6896035048192826E-2</v>
      </c>
      <c r="K43">
        <v>7.2515580571953828E-2</v>
      </c>
      <c r="L43">
        <v>4.981866781733281E-2</v>
      </c>
      <c r="M43">
        <v>6.7227507002996498E-2</v>
      </c>
      <c r="N43">
        <v>4.9452877824503839E-2</v>
      </c>
      <c r="O43">
        <v>5.2941836807539486E-2</v>
      </c>
      <c r="P43">
        <v>4.3396001258081775E-2</v>
      </c>
      <c r="Q43">
        <v>0.10478329612189752</v>
      </c>
      <c r="R43">
        <v>3.9061622243363704E-4</v>
      </c>
      <c r="S43">
        <v>6.1095884330464381E-3</v>
      </c>
      <c r="T43">
        <v>0.1117662069245839</v>
      </c>
      <c r="U43">
        <f t="shared" si="0"/>
        <v>3.9061622243363704E-4</v>
      </c>
      <c r="V43">
        <f t="shared" si="1"/>
        <v>4.7950056979062544E-2</v>
      </c>
      <c r="W43">
        <f t="shared" si="2"/>
        <v>6.2308399732688119E-2</v>
      </c>
      <c r="X43">
        <f t="shared" si="3"/>
        <v>7.5800921429133084E-2</v>
      </c>
      <c r="Y43">
        <f t="shared" si="4"/>
        <v>0.1117662069245839</v>
      </c>
    </row>
    <row r="44" spans="1:25" x14ac:dyDescent="0.3">
      <c r="A44" t="s">
        <v>166</v>
      </c>
      <c r="B44" t="s">
        <v>242</v>
      </c>
      <c r="C44">
        <v>0.16309314086472543</v>
      </c>
      <c r="D44">
        <v>0.11917263951788867</v>
      </c>
      <c r="E44">
        <v>0.14512909325758272</v>
      </c>
      <c r="F44">
        <v>0.11526858951299793</v>
      </c>
      <c r="G44">
        <v>7.7904776115077845E-2</v>
      </c>
      <c r="H44">
        <v>8.3820888818634712E-2</v>
      </c>
      <c r="I44">
        <v>0.11361786032807709</v>
      </c>
      <c r="J44">
        <v>0.14470628918684469</v>
      </c>
      <c r="K44">
        <v>0.12324682131036742</v>
      </c>
      <c r="L44">
        <v>8.6457775489541311E-2</v>
      </c>
      <c r="M44">
        <v>0.12131219126592639</v>
      </c>
      <c r="N44">
        <v>9.5309857341469864E-2</v>
      </c>
      <c r="O44">
        <v>0.11395082845042956</v>
      </c>
      <c r="P44">
        <v>8.7414568002515305E-2</v>
      </c>
      <c r="Q44">
        <v>0.20653171461336031</v>
      </c>
      <c r="R44">
        <v>7.7777030209244438E-4</v>
      </c>
      <c r="S44">
        <v>1.8094465272213197E-2</v>
      </c>
      <c r="T44">
        <v>0.13781882719444707</v>
      </c>
      <c r="U44">
        <f t="shared" si="0"/>
        <v>7.7777030209244438E-4</v>
      </c>
      <c r="V44">
        <f t="shared" si="1"/>
        <v>8.6696973617784806E-2</v>
      </c>
      <c r="W44">
        <f t="shared" si="2"/>
        <v>0.11460970898171374</v>
      </c>
      <c r="X44">
        <f t="shared" si="3"/>
        <v>0.13417582572342715</v>
      </c>
      <c r="Y44">
        <f t="shared" si="4"/>
        <v>0.20653171461336031</v>
      </c>
    </row>
    <row r="45" spans="1:25" x14ac:dyDescent="0.3">
      <c r="A45" t="s">
        <v>167</v>
      </c>
      <c r="B45" t="s">
        <v>243</v>
      </c>
      <c r="C45">
        <v>2.1744913969214814E-2</v>
      </c>
      <c r="D45">
        <v>3.5751698058236504E-2</v>
      </c>
      <c r="E45">
        <v>6.9411767043267457E-3</v>
      </c>
      <c r="F45">
        <v>6.666520989648342E-3</v>
      </c>
      <c r="G45">
        <v>2.8426056552032864E-3</v>
      </c>
      <c r="H45">
        <v>1.8214863032173643E-2</v>
      </c>
      <c r="I45">
        <v>-5.4089525934600492E-3</v>
      </c>
      <c r="J45">
        <v>4.0554966445743072E-2</v>
      </c>
      <c r="K45">
        <v>4.5131355106634852E-2</v>
      </c>
      <c r="L45">
        <v>3.2629510423911108E-2</v>
      </c>
      <c r="M45">
        <v>4.99440927464634E-2</v>
      </c>
      <c r="N45">
        <v>5.6618432547979797E-2</v>
      </c>
      <c r="O45">
        <v>2.7263498984736866E-2</v>
      </c>
      <c r="P45">
        <v>5.5579513447699666E-2</v>
      </c>
      <c r="Q45">
        <v>7.1762287057098556E-2</v>
      </c>
      <c r="R45">
        <v>7.1219693474626422E-2</v>
      </c>
      <c r="S45">
        <v>5.4759501246561218E-2</v>
      </c>
      <c r="T45">
        <v>0.12985922919654672</v>
      </c>
      <c r="U45">
        <f t="shared" si="0"/>
        <v>-5.4089525934600492E-3</v>
      </c>
      <c r="V45">
        <f t="shared" si="1"/>
        <v>1.9097375766433937E-2</v>
      </c>
      <c r="W45">
        <f t="shared" si="2"/>
        <v>3.8153332251989788E-2</v>
      </c>
      <c r="X45">
        <f t="shared" si="3"/>
        <v>5.5374510397415054E-2</v>
      </c>
      <c r="Y45">
        <f t="shared" si="4"/>
        <v>0.12985922919654672</v>
      </c>
    </row>
    <row r="46" spans="1:25" x14ac:dyDescent="0.3">
      <c r="A46" t="s">
        <v>168</v>
      </c>
      <c r="B46" t="s">
        <v>244</v>
      </c>
      <c r="C46">
        <v>3.1935386666666665</v>
      </c>
      <c r="D46">
        <v>4.9359653333333338</v>
      </c>
      <c r="E46">
        <v>0.95028266666666672</v>
      </c>
      <c r="F46">
        <v>0.88026400000000005</v>
      </c>
      <c r="G46">
        <v>0.36244266666666669</v>
      </c>
      <c r="H46">
        <v>2.3008373333333334</v>
      </c>
      <c r="I46">
        <v>-0.69592799999999999</v>
      </c>
      <c r="J46">
        <v>5.1040320000000001</v>
      </c>
      <c r="K46">
        <v>5.4932613333333338</v>
      </c>
      <c r="L46">
        <v>3.6583093333333334</v>
      </c>
      <c r="M46">
        <v>5.2399653333333331</v>
      </c>
      <c r="N46">
        <v>5.6492719999999998</v>
      </c>
      <c r="O46">
        <v>2.6401413333333332</v>
      </c>
      <c r="P46">
        <v>5.0941200000000002</v>
      </c>
      <c r="Q46">
        <v>6.3545413333333336</v>
      </c>
      <c r="R46">
        <v>5.4059226666666671</v>
      </c>
      <c r="S46">
        <v>3.8048479999999998</v>
      </c>
      <c r="T46">
        <v>8.5913546666666658</v>
      </c>
      <c r="U46">
        <f t="shared" si="0"/>
        <v>-0.69592799999999999</v>
      </c>
      <c r="V46">
        <f t="shared" si="1"/>
        <v>2.3856633333333335</v>
      </c>
      <c r="W46">
        <f t="shared" si="2"/>
        <v>4.3704066666666668</v>
      </c>
      <c r="X46">
        <f t="shared" si="3"/>
        <v>5.3644333333333334</v>
      </c>
      <c r="Y46">
        <f t="shared" si="4"/>
        <v>8.5913546666666658</v>
      </c>
    </row>
    <row r="47" spans="1:25" x14ac:dyDescent="0.3">
      <c r="A47" t="s">
        <v>169</v>
      </c>
      <c r="B47" t="s">
        <v>245</v>
      </c>
      <c r="C47">
        <v>5.3445907696946549</v>
      </c>
      <c r="D47">
        <v>5.2928088328420699</v>
      </c>
      <c r="E47">
        <v>7.085917799648807</v>
      </c>
      <c r="F47">
        <v>5.8381767892637928</v>
      </c>
      <c r="G47">
        <v>5.6334280114725246</v>
      </c>
      <c r="H47">
        <v>6.5805818111444898</v>
      </c>
      <c r="I47">
        <v>8.6600404895505605</v>
      </c>
      <c r="J47">
        <v>5.4077304597141085</v>
      </c>
      <c r="K47">
        <v>8.6393276973866904</v>
      </c>
      <c r="L47">
        <v>8.7912227072912845</v>
      </c>
      <c r="M47">
        <v>8.2083137232393959</v>
      </c>
      <c r="N47">
        <v>9.1164804464328402</v>
      </c>
      <c r="O47">
        <v>7.697679154866325</v>
      </c>
      <c r="P47">
        <v>9.546562430449594</v>
      </c>
      <c r="Q47">
        <v>8.6012605481616706</v>
      </c>
      <c r="R47">
        <v>14.851514828532601</v>
      </c>
      <c r="S47">
        <v>8.7733084036585982</v>
      </c>
      <c r="T47">
        <v>21.18349031347352</v>
      </c>
      <c r="U47">
        <f t="shared" si="0"/>
        <v>5.2928088328420699</v>
      </c>
      <c r="V47">
        <f t="shared" si="1"/>
        <v>6.0237780447339668</v>
      </c>
      <c r="W47">
        <f t="shared" si="2"/>
        <v>8.4047871357005342</v>
      </c>
      <c r="X47">
        <f t="shared" si="3"/>
        <v>8.7867441313831129</v>
      </c>
      <c r="Y47">
        <f t="shared" si="4"/>
        <v>21.18349031347352</v>
      </c>
    </row>
    <row r="48" spans="1:25" x14ac:dyDescent="0.3">
      <c r="A48" t="s">
        <v>170</v>
      </c>
      <c r="B48" t="s">
        <v>246</v>
      </c>
      <c r="C48">
        <v>2.8198677074949567</v>
      </c>
      <c r="D48">
        <v>3.0553535453226681</v>
      </c>
      <c r="E48">
        <v>2.8504529920696577</v>
      </c>
      <c r="F48">
        <v>2.9486486768826938</v>
      </c>
      <c r="G48">
        <v>3.2988944978073911</v>
      </c>
      <c r="H48">
        <v>3.6117771346444765</v>
      </c>
      <c r="I48">
        <v>3.4374763403110333</v>
      </c>
      <c r="J48">
        <v>3.555444854559354</v>
      </c>
      <c r="K48">
        <v>3.8143642777184121</v>
      </c>
      <c r="L48">
        <v>3.4000584389923709</v>
      </c>
      <c r="M48">
        <v>2.7157285829910571</v>
      </c>
      <c r="N48">
        <v>2.7204603790109552</v>
      </c>
      <c r="O48">
        <v>2.7088297140795836</v>
      </c>
      <c r="P48">
        <v>2.7176029081041513</v>
      </c>
      <c r="Q48">
        <v>2.3419259807047874</v>
      </c>
      <c r="R48">
        <v>2.21253569536524</v>
      </c>
      <c r="S48">
        <v>1.9289116152859125</v>
      </c>
      <c r="T48">
        <v>1.8894790483929369</v>
      </c>
      <c r="U48">
        <f t="shared" si="0"/>
        <v>1.8894790483929369</v>
      </c>
      <c r="V48">
        <f t="shared" si="1"/>
        <v>2.7105544313074521</v>
      </c>
      <c r="W48">
        <f t="shared" si="2"/>
        <v>2.8351603497823072</v>
      </c>
      <c r="X48">
        <f t="shared" si="3"/>
        <v>3.3747674536961259</v>
      </c>
      <c r="Y48">
        <f t="shared" si="4"/>
        <v>3.8143642777184121</v>
      </c>
    </row>
    <row r="49" spans="1:25" x14ac:dyDescent="0.3">
      <c r="A49" t="s">
        <v>171</v>
      </c>
      <c r="B49" t="s">
        <v>247</v>
      </c>
      <c r="C49">
        <v>0.73821082912429103</v>
      </c>
      <c r="D49">
        <v>0.75341237482158063</v>
      </c>
      <c r="E49">
        <v>0.74029029777545996</v>
      </c>
      <c r="F49">
        <v>0.74674880400110411</v>
      </c>
      <c r="G49">
        <v>0.76738205589598907</v>
      </c>
      <c r="H49">
        <v>0.78316384968219188</v>
      </c>
      <c r="I49">
        <v>0.77464668579395568</v>
      </c>
      <c r="J49">
        <v>0.78048247055407949</v>
      </c>
      <c r="K49">
        <v>0.79228825607813946</v>
      </c>
      <c r="L49">
        <v>0.77273029123017656</v>
      </c>
      <c r="M49">
        <v>0.73087377679372156</v>
      </c>
      <c r="N49">
        <v>0.73121605980767379</v>
      </c>
      <c r="O49">
        <v>0.73037316968105426</v>
      </c>
      <c r="P49">
        <v>0.7310094637003699</v>
      </c>
      <c r="Q49">
        <v>0.7007713498821696</v>
      </c>
      <c r="R49">
        <v>0.68871941206981424</v>
      </c>
      <c r="S49">
        <v>0.65857624559886807</v>
      </c>
      <c r="T49">
        <v>0.6539168537815917</v>
      </c>
      <c r="U49">
        <f t="shared" si="0"/>
        <v>0.6539168537815917</v>
      </c>
      <c r="V49">
        <f t="shared" si="1"/>
        <v>0.73049832145922111</v>
      </c>
      <c r="W49">
        <f t="shared" si="2"/>
        <v>0.7392505634498755</v>
      </c>
      <c r="X49">
        <f t="shared" si="3"/>
        <v>0.77139323239662971</v>
      </c>
      <c r="Y49">
        <f t="shared" si="4"/>
        <v>0.79228825607813946</v>
      </c>
    </row>
    <row r="50" spans="1:25" x14ac:dyDescent="0.3">
      <c r="A50" t="s">
        <v>172</v>
      </c>
      <c r="B50" t="s">
        <v>248</v>
      </c>
      <c r="C50">
        <v>0.26178917087570897</v>
      </c>
      <c r="D50">
        <v>0.24658762517841931</v>
      </c>
      <c r="E50">
        <v>0.25970970222454004</v>
      </c>
      <c r="F50">
        <v>0.25325119599889589</v>
      </c>
      <c r="G50">
        <v>0.23261794410401099</v>
      </c>
      <c r="H50">
        <v>0.21683615031780809</v>
      </c>
      <c r="I50">
        <v>0.22535331420604435</v>
      </c>
      <c r="J50">
        <v>0.21951752944592051</v>
      </c>
      <c r="K50">
        <v>0.20771174392186056</v>
      </c>
      <c r="L50">
        <v>0.22726970876982341</v>
      </c>
      <c r="M50">
        <v>0.26912622320627844</v>
      </c>
      <c r="N50">
        <v>0.26878394019232621</v>
      </c>
      <c r="O50">
        <v>0.26962683031894574</v>
      </c>
      <c r="P50">
        <v>0.2689905362996301</v>
      </c>
      <c r="Q50">
        <v>0.2992286501178304</v>
      </c>
      <c r="R50">
        <v>0.31128058793018576</v>
      </c>
      <c r="S50">
        <v>0.34142375440113193</v>
      </c>
      <c r="T50">
        <v>0.34608314621840824</v>
      </c>
      <c r="U50">
        <f t="shared" si="0"/>
        <v>0.20771174392186056</v>
      </c>
      <c r="V50">
        <f t="shared" si="1"/>
        <v>0.22860676760337031</v>
      </c>
      <c r="W50">
        <f t="shared" si="2"/>
        <v>0.2607494365501245</v>
      </c>
      <c r="X50">
        <f t="shared" si="3"/>
        <v>0.26950167854077889</v>
      </c>
      <c r="Y50">
        <f t="shared" si="4"/>
        <v>0.34608314621840824</v>
      </c>
    </row>
    <row r="51" spans="1:25" x14ac:dyDescent="0.3">
      <c r="A51" t="s">
        <v>173</v>
      </c>
      <c r="B51" t="s">
        <v>249</v>
      </c>
      <c r="C51">
        <v>9.4064673840907193E-2</v>
      </c>
      <c r="D51">
        <v>0.10065260151636551</v>
      </c>
      <c r="E51">
        <v>0.10577683363868023</v>
      </c>
      <c r="F51">
        <v>0.11341536497788227</v>
      </c>
      <c r="G51">
        <v>0.10953668096112179</v>
      </c>
      <c r="H51">
        <v>0.11961841916680852</v>
      </c>
      <c r="I51">
        <v>0.12416359562855868</v>
      </c>
      <c r="J51">
        <v>0.12664257178576044</v>
      </c>
      <c r="K51">
        <v>0.12918364108026337</v>
      </c>
      <c r="L51">
        <v>0.11736663049796735</v>
      </c>
      <c r="M51">
        <v>8.5629395808206499E-2</v>
      </c>
      <c r="N51">
        <v>9.1763346440391094E-2</v>
      </c>
      <c r="O51">
        <v>0.10285598502691685</v>
      </c>
      <c r="P51">
        <v>9.7987407103442933E-2</v>
      </c>
      <c r="Q51">
        <v>1.2673709266720717E-2</v>
      </c>
      <c r="R51">
        <v>7.2626945891440557E-3</v>
      </c>
      <c r="S51">
        <v>5.9711109280017978E-3</v>
      </c>
      <c r="T51">
        <v>2.3269351697823331E-2</v>
      </c>
      <c r="U51">
        <f t="shared" si="0"/>
        <v>5.9711109280017978E-3</v>
      </c>
      <c r="V51">
        <f t="shared" si="1"/>
        <v>8.7162883466252644E-2</v>
      </c>
      <c r="W51">
        <f t="shared" si="2"/>
        <v>0.10175429327164118</v>
      </c>
      <c r="X51">
        <f t="shared" si="3"/>
        <v>0.11637881411794608</v>
      </c>
      <c r="Y51">
        <f t="shared" si="4"/>
        <v>0.12918364108026337</v>
      </c>
    </row>
    <row r="52" spans="1:25" x14ac:dyDescent="0.3">
      <c r="A52" t="s">
        <v>174</v>
      </c>
      <c r="B52" t="s">
        <v>250</v>
      </c>
      <c r="C52">
        <v>8.5881658259476495E-2</v>
      </c>
      <c r="D52">
        <v>9.2763405672345145E-2</v>
      </c>
      <c r="E52">
        <v>9.7683160515519632E-2</v>
      </c>
      <c r="F52">
        <v>0.1041705930123662</v>
      </c>
      <c r="G52">
        <v>9.9823444565613359E-2</v>
      </c>
      <c r="H52">
        <v>0.10958304325944998</v>
      </c>
      <c r="I52">
        <v>0.11697641098265281</v>
      </c>
      <c r="J52">
        <v>0.1209776728299235</v>
      </c>
      <c r="K52">
        <v>0.12124246145868686</v>
      </c>
      <c r="L52">
        <v>0.10877048938581077</v>
      </c>
      <c r="M52">
        <v>7.7902980835676691E-2</v>
      </c>
      <c r="N52">
        <v>8.3526978849064251E-2</v>
      </c>
      <c r="O52">
        <v>8.414188916736251E-2</v>
      </c>
      <c r="P52">
        <v>9.0554082327838931E-2</v>
      </c>
      <c r="Q52">
        <v>5.4909019706619868E-3</v>
      </c>
      <c r="R52">
        <v>0</v>
      </c>
      <c r="S52">
        <v>0</v>
      </c>
      <c r="T52">
        <v>0</v>
      </c>
      <c r="U52">
        <f t="shared" si="0"/>
        <v>0</v>
      </c>
      <c r="V52">
        <f t="shared" si="1"/>
        <v>7.9308980339023588E-2</v>
      </c>
      <c r="W52">
        <f t="shared" si="2"/>
        <v>9.1658744000092038E-2</v>
      </c>
      <c r="X52">
        <f t="shared" si="3"/>
        <v>0.10762051529244962</v>
      </c>
      <c r="Y52">
        <f t="shared" si="4"/>
        <v>0.12124246145868686</v>
      </c>
    </row>
    <row r="53" spans="1:25" x14ac:dyDescent="0.3">
      <c r="A53" t="s">
        <v>175</v>
      </c>
      <c r="B53" t="s">
        <v>251</v>
      </c>
      <c r="C53">
        <v>0.24702002889659452</v>
      </c>
      <c r="D53">
        <v>0.2733553083359852</v>
      </c>
      <c r="E53">
        <v>0.27332152009584737</v>
      </c>
      <c r="F53">
        <v>0.29145003526655133</v>
      </c>
      <c r="G53">
        <v>0.30027381658189534</v>
      </c>
      <c r="H53">
        <v>0.33571262173194932</v>
      </c>
      <c r="I53">
        <v>0.34170684686576286</v>
      </c>
      <c r="J53">
        <v>0.35529919958142714</v>
      </c>
      <c r="K53">
        <v>0.36856942235600459</v>
      </c>
      <c r="L53">
        <v>0.32368297002204072</v>
      </c>
      <c r="M53">
        <v>0.22448537451118489</v>
      </c>
      <c r="N53">
        <v>0.23708313973445505</v>
      </c>
      <c r="O53">
        <v>0.23784434443367741</v>
      </c>
      <c r="P53">
        <v>0.25185770454171008</v>
      </c>
      <c r="Q53">
        <v>1.8019526259566685E-2</v>
      </c>
      <c r="R53">
        <v>0</v>
      </c>
      <c r="S53">
        <v>0</v>
      </c>
      <c r="T53">
        <v>0</v>
      </c>
      <c r="U53">
        <f t="shared" si="0"/>
        <v>0</v>
      </c>
      <c r="V53">
        <f t="shared" si="1"/>
        <v>0.22763481581700243</v>
      </c>
      <c r="W53">
        <f t="shared" si="2"/>
        <v>0.26258961231877875</v>
      </c>
      <c r="X53">
        <f t="shared" si="3"/>
        <v>0.31783068166200434</v>
      </c>
      <c r="Y53">
        <f t="shared" si="4"/>
        <v>0.36856942235600459</v>
      </c>
    </row>
    <row r="54" spans="1:25" x14ac:dyDescent="0.3">
      <c r="A54" t="s">
        <v>176</v>
      </c>
      <c r="B54" t="s">
        <v>252</v>
      </c>
      <c r="C54">
        <v>0.32805657305149183</v>
      </c>
      <c r="D54">
        <v>0.37618840606954979</v>
      </c>
      <c r="E54">
        <v>0.37612441768180321</v>
      </c>
      <c r="F54">
        <v>0.41133307426836541</v>
      </c>
      <c r="G54">
        <v>0.42913045659529636</v>
      </c>
      <c r="H54">
        <v>0.5053725732486879</v>
      </c>
      <c r="I54">
        <v>0.5190800561100215</v>
      </c>
      <c r="J54">
        <v>0.5511071172096399</v>
      </c>
      <c r="K54">
        <v>0.58370537538935341</v>
      </c>
      <c r="L54">
        <v>0.47859650973536683</v>
      </c>
      <c r="M54">
        <v>0.28946633259132848</v>
      </c>
      <c r="N54">
        <v>0.31075881538642963</v>
      </c>
      <c r="O54">
        <v>0.31206793874270511</v>
      </c>
      <c r="P54">
        <v>0.33664411980267672</v>
      </c>
      <c r="Q54">
        <v>1.8350187953258407E-2</v>
      </c>
      <c r="R54">
        <v>0</v>
      </c>
      <c r="S54">
        <v>0</v>
      </c>
      <c r="T54">
        <v>0</v>
      </c>
      <c r="U54">
        <f t="shared" si="0"/>
        <v>0</v>
      </c>
      <c r="V54">
        <f t="shared" si="1"/>
        <v>0.29478945329010375</v>
      </c>
      <c r="W54">
        <f t="shared" si="2"/>
        <v>0.35638426874223994</v>
      </c>
      <c r="X54">
        <f t="shared" si="3"/>
        <v>0.46622999645034924</v>
      </c>
      <c r="Y54">
        <f t="shared" si="4"/>
        <v>0.58370537538935341</v>
      </c>
    </row>
    <row r="55" spans="1:25" x14ac:dyDescent="0.3">
      <c r="A55" t="s">
        <v>177</v>
      </c>
      <c r="B55" t="s">
        <v>253</v>
      </c>
      <c r="C55">
        <v>3.4720968905823573</v>
      </c>
      <c r="D55">
        <v>3.6508746988253797</v>
      </c>
      <c r="E55">
        <v>3.4842804649335584</v>
      </c>
      <c r="F55">
        <v>3.6628691027864582</v>
      </c>
      <c r="G55">
        <v>3.9602315730304145</v>
      </c>
      <c r="H55">
        <v>4.2435911840067639</v>
      </c>
      <c r="I55">
        <v>4.0993694060585728</v>
      </c>
      <c r="J55">
        <v>4.2682878002826188</v>
      </c>
      <c r="K55">
        <v>4.5022924794291779</v>
      </c>
      <c r="L55">
        <v>4.0742106131238236</v>
      </c>
      <c r="M55">
        <v>3.4631980378583038</v>
      </c>
      <c r="N55">
        <v>3.4833818533485772</v>
      </c>
      <c r="O55">
        <v>3.4172222028739623</v>
      </c>
      <c r="P55">
        <v>3.4698019628491599</v>
      </c>
      <c r="Q55">
        <v>3.1159824227396924</v>
      </c>
      <c r="R55">
        <v>2.9640259789801671</v>
      </c>
      <c r="S55">
        <v>2.6772250739504044</v>
      </c>
      <c r="T55">
        <v>2.6162557995739903</v>
      </c>
      <c r="U55">
        <f t="shared" si="0"/>
        <v>2.6162557995739903</v>
      </c>
      <c r="V55">
        <f t="shared" si="1"/>
        <v>3.4287161616200477</v>
      </c>
      <c r="W55">
        <f t="shared" si="2"/>
        <v>3.4838311591410678</v>
      </c>
      <c r="X55">
        <f t="shared" si="3"/>
        <v>4.0457158531004715</v>
      </c>
      <c r="Y55">
        <f t="shared" si="4"/>
        <v>4.5022924794291779</v>
      </c>
    </row>
    <row r="56" spans="1:25" x14ac:dyDescent="0.3">
      <c r="A56" t="s">
        <v>178</v>
      </c>
      <c r="B56" t="s">
        <v>254</v>
      </c>
      <c r="C56">
        <v>9.1280829710714884E-2</v>
      </c>
      <c r="D56">
        <v>0.10912938994319588</v>
      </c>
      <c r="E56">
        <v>9.9108805846634451E-2</v>
      </c>
      <c r="F56">
        <v>9.6002549926558836E-2</v>
      </c>
      <c r="G56">
        <v>0.10906663204573559</v>
      </c>
      <c r="H56">
        <v>0.11695888384286925</v>
      </c>
      <c r="I56">
        <v>0.10474073027641874</v>
      </c>
      <c r="J56">
        <v>0.10974504451634325</v>
      </c>
      <c r="K56">
        <v>0.125562835896571</v>
      </c>
      <c r="L56">
        <v>0.12282936400292027</v>
      </c>
      <c r="M56">
        <v>0.1166856653913753</v>
      </c>
      <c r="N56">
        <v>0.12323682825266893</v>
      </c>
      <c r="O56">
        <v>0.12915099755486789</v>
      </c>
      <c r="P56">
        <v>0.14586554777457519</v>
      </c>
      <c r="Q56">
        <v>0.14227957497433388</v>
      </c>
      <c r="R56">
        <v>0.1656877786698876</v>
      </c>
      <c r="S56">
        <v>0.12425590127880946</v>
      </c>
      <c r="T56">
        <v>0.13245419301760233</v>
      </c>
      <c r="U56">
        <f t="shared" si="0"/>
        <v>9.1280829710714884E-2</v>
      </c>
      <c r="V56">
        <f t="shared" si="1"/>
        <v>0.10908232152010067</v>
      </c>
      <c r="W56">
        <f t="shared" si="2"/>
        <v>0.11989412392289475</v>
      </c>
      <c r="X56">
        <f t="shared" si="3"/>
        <v>0.12825395714029367</v>
      </c>
      <c r="Y56">
        <f t="shared" si="4"/>
        <v>0.1656877786698876</v>
      </c>
    </row>
    <row r="57" spans="1:25" x14ac:dyDescent="0.3">
      <c r="A57" t="s">
        <v>179</v>
      </c>
      <c r="B57" t="s">
        <v>255</v>
      </c>
      <c r="C57">
        <v>2.6266792241407724</v>
      </c>
      <c r="D57">
        <v>3.0873510571741387</v>
      </c>
      <c r="E57">
        <v>5.6154669024315842</v>
      </c>
      <c r="F57">
        <v>5.1759910745227575</v>
      </c>
      <c r="G57">
        <v>4.4735696403205845</v>
      </c>
      <c r="H57">
        <v>3.7858666246175661</v>
      </c>
      <c r="I57">
        <v>3.802145934868276</v>
      </c>
      <c r="J57">
        <v>4.4080572409668139</v>
      </c>
      <c r="K57">
        <v>-54.495847966728284</v>
      </c>
      <c r="L57">
        <v>-8.6376728574429347</v>
      </c>
      <c r="M57">
        <v>3.2030675091605043</v>
      </c>
      <c r="N57">
        <v>4.4021013763438104</v>
      </c>
      <c r="O57">
        <v>4.7817881316115258</v>
      </c>
      <c r="P57">
        <v>4.3043346565478666</v>
      </c>
      <c r="Q57">
        <v>0.29187759257679508</v>
      </c>
      <c r="R57">
        <v>1.5305230621159398</v>
      </c>
      <c r="S57">
        <v>0.71872127239886729</v>
      </c>
      <c r="T57">
        <v>0.81970887957755378</v>
      </c>
      <c r="U57">
        <f t="shared" si="0"/>
        <v>-54.495847966728284</v>
      </c>
      <c r="V57">
        <f t="shared" si="1"/>
        <v>0.99741242521215034</v>
      </c>
      <c r="W57">
        <f t="shared" si="2"/>
        <v>3.494467066889035</v>
      </c>
      <c r="X57">
        <f t="shared" si="3"/>
        <v>4.4065682748110628</v>
      </c>
      <c r="Y57">
        <f t="shared" si="4"/>
        <v>5.6154669024315842</v>
      </c>
    </row>
    <row r="58" spans="1:25" x14ac:dyDescent="0.3">
      <c r="A58" t="s">
        <v>180</v>
      </c>
      <c r="B58" t="s">
        <v>256</v>
      </c>
      <c r="C58">
        <v>1.9271530448494498</v>
      </c>
      <c r="D58">
        <v>2.2855759478072111</v>
      </c>
      <c r="E58">
        <v>4.4783365130575508</v>
      </c>
      <c r="F58">
        <v>4.2166322268346814</v>
      </c>
      <c r="G58">
        <v>3.4898978165036212</v>
      </c>
      <c r="H58">
        <v>3.1782241560057276</v>
      </c>
      <c r="I58">
        <v>3.3325212124597061</v>
      </c>
      <c r="J58">
        <v>3.6891009921698745</v>
      </c>
      <c r="K58">
        <v>-48.504905268022178</v>
      </c>
      <c r="L58">
        <v>-7.4820959074359337</v>
      </c>
      <c r="M58">
        <v>2.5404687972405346</v>
      </c>
      <c r="N58">
        <v>3.6779240094106789</v>
      </c>
      <c r="O58">
        <v>4.0463170050069328</v>
      </c>
      <c r="P58">
        <v>3.6669180177854348</v>
      </c>
      <c r="Q58">
        <v>-9.2600202377905713E-2</v>
      </c>
      <c r="R58">
        <v>-0.69226512178870214</v>
      </c>
      <c r="S58">
        <v>-0.83534320677405494</v>
      </c>
      <c r="T58">
        <v>0.58634681709947334</v>
      </c>
      <c r="U58">
        <f t="shared" si="0"/>
        <v>-48.504905268022178</v>
      </c>
      <c r="V58">
        <f t="shared" si="1"/>
        <v>7.7136552491439039E-2</v>
      </c>
      <c r="W58">
        <f t="shared" si="2"/>
        <v>2.8593464766231311</v>
      </c>
      <c r="X58">
        <f t="shared" si="3"/>
        <v>3.6751725115043676</v>
      </c>
      <c r="Y58">
        <f t="shared" si="4"/>
        <v>4.4783365130575508</v>
      </c>
    </row>
    <row r="59" spans="1:25" x14ac:dyDescent="0.3">
      <c r="A59" t="s">
        <v>181</v>
      </c>
      <c r="B59" t="s">
        <v>257</v>
      </c>
      <c r="C59">
        <v>7.4962732898272997E-3</v>
      </c>
      <c r="D59">
        <v>7.4522260297795436E-3</v>
      </c>
      <c r="E59">
        <v>7.151154820029715E-3</v>
      </c>
      <c r="F59">
        <v>6.9151382221891806E-3</v>
      </c>
      <c r="G59">
        <v>7.4148807603658592E-3</v>
      </c>
      <c r="H59">
        <v>6.8537520032282851E-3</v>
      </c>
      <c r="I59">
        <v>6.4185869143321651E-3</v>
      </c>
      <c r="J59">
        <v>6.4333292523845419E-3</v>
      </c>
      <c r="K59">
        <v>6.5211686877907019E-3</v>
      </c>
      <c r="L59">
        <v>7.7923838639335392E-3</v>
      </c>
      <c r="M59">
        <v>3.9881507162405237E-3</v>
      </c>
      <c r="N59">
        <v>3.9132251924793617E-3</v>
      </c>
      <c r="O59">
        <v>3.5971916417501266E-3</v>
      </c>
      <c r="P59">
        <v>3.9894592287421596E-3</v>
      </c>
      <c r="Q59">
        <v>3.1184228425735556E-2</v>
      </c>
      <c r="R59">
        <v>6.3483252732156187E-2</v>
      </c>
      <c r="S59">
        <v>8.4351675544521845E-2</v>
      </c>
      <c r="T59">
        <v>2.273283345206055E-2</v>
      </c>
      <c r="U59">
        <f t="shared" si="0"/>
        <v>3.5971916417501266E-3</v>
      </c>
      <c r="V59">
        <f t="shared" si="1"/>
        <v>6.4222724988452591E-3</v>
      </c>
      <c r="W59">
        <f t="shared" si="2"/>
        <v>7.0331465211094478E-3</v>
      </c>
      <c r="X59">
        <f t="shared" si="3"/>
        <v>7.7183562204069791E-3</v>
      </c>
      <c r="Y59">
        <f t="shared" si="4"/>
        <v>8.4351675544521845E-2</v>
      </c>
    </row>
    <row r="60" spans="1:25" x14ac:dyDescent="0.3">
      <c r="A60" t="s">
        <v>182</v>
      </c>
      <c r="B60" t="s">
        <v>258</v>
      </c>
      <c r="C60">
        <v>0</v>
      </c>
      <c r="D60">
        <v>2.8973333333333334E-2</v>
      </c>
      <c r="E60">
        <v>0</v>
      </c>
      <c r="F60">
        <v>0</v>
      </c>
      <c r="G60">
        <v>0</v>
      </c>
      <c r="H60">
        <v>2.2478908188585611E-2</v>
      </c>
      <c r="I60">
        <v>0</v>
      </c>
      <c r="J60">
        <v>0</v>
      </c>
      <c r="K60">
        <v>0</v>
      </c>
      <c r="L60">
        <v>2.9105220883534136E-2</v>
      </c>
      <c r="M60">
        <v>0</v>
      </c>
      <c r="N60">
        <v>0</v>
      </c>
      <c r="O60">
        <v>0</v>
      </c>
      <c r="P60">
        <v>4.2403584699453552E-2</v>
      </c>
      <c r="Q60">
        <v>0</v>
      </c>
      <c r="R60">
        <v>0</v>
      </c>
      <c r="S60">
        <v>0</v>
      </c>
      <c r="T60">
        <v>0</v>
      </c>
      <c r="U60">
        <f t="shared" si="0"/>
        <v>0</v>
      </c>
      <c r="V60">
        <f t="shared" si="1"/>
        <v>0</v>
      </c>
      <c r="W60">
        <f t="shared" si="2"/>
        <v>0</v>
      </c>
      <c r="X60">
        <f t="shared" si="3"/>
        <v>0</v>
      </c>
      <c r="Y60">
        <f t="shared" si="4"/>
        <v>4.2403584699453552E-2</v>
      </c>
    </row>
    <row r="61" spans="1:25" x14ac:dyDescent="0.3">
      <c r="A61" t="s">
        <v>183</v>
      </c>
      <c r="B61" t="s">
        <v>259</v>
      </c>
      <c r="C61">
        <v>20.872274143302182</v>
      </c>
      <c r="D61">
        <v>29.385964912280706</v>
      </c>
      <c r="E61">
        <v>21.887417218543046</v>
      </c>
      <c r="F61">
        <v>28.770053475935825</v>
      </c>
      <c r="G61">
        <v>54.81481481481481</v>
      </c>
      <c r="H61">
        <v>60.149253731343279</v>
      </c>
      <c r="I61">
        <v>43.505154639175259</v>
      </c>
      <c r="J61">
        <v>42.660098522167488</v>
      </c>
      <c r="K61">
        <v>37.717391304347828</v>
      </c>
      <c r="L61">
        <v>37.164179104477604</v>
      </c>
      <c r="M61">
        <v>23.459459459459456</v>
      </c>
      <c r="N61">
        <v>54.198473282442748</v>
      </c>
      <c r="O61">
        <v>22.985074626865671</v>
      </c>
      <c r="P61">
        <v>27.477477477477475</v>
      </c>
      <c r="Q61">
        <v>13.231939163498099</v>
      </c>
      <c r="R61">
        <v>3400</v>
      </c>
      <c r="S61">
        <v>222.14285714285714</v>
      </c>
      <c r="T61">
        <v>19.296875</v>
      </c>
      <c r="U61">
        <f t="shared" si="0"/>
        <v>13.231939163498099</v>
      </c>
      <c r="V61">
        <f t="shared" si="1"/>
        <v>23.103670835014118</v>
      </c>
      <c r="W61">
        <f t="shared" si="2"/>
        <v>33.275072008379155</v>
      </c>
      <c r="X61">
        <f t="shared" si="3"/>
        <v>51.525143621625872</v>
      </c>
      <c r="Y61">
        <f t="shared" si="4"/>
        <v>3400</v>
      </c>
    </row>
    <row r="62" spans="1:25" x14ac:dyDescent="0.3">
      <c r="A62" t="s">
        <v>184</v>
      </c>
      <c r="B62" t="s">
        <v>260</v>
      </c>
      <c r="C62">
        <v>3.4073941470122748</v>
      </c>
      <c r="D62">
        <v>3.5076932613338281</v>
      </c>
      <c r="E62">
        <v>3.1810513928288864</v>
      </c>
      <c r="F62">
        <v>3.3199525942035519</v>
      </c>
      <c r="G62">
        <v>4.277407856927721</v>
      </c>
      <c r="H62">
        <v>5.0504476643287832</v>
      </c>
      <c r="I62">
        <v>4.9391809698741174</v>
      </c>
      <c r="J62">
        <v>6.1602530796997321</v>
      </c>
      <c r="K62">
        <v>4.6471679060602469</v>
      </c>
      <c r="L62">
        <v>3.2178325300382729</v>
      </c>
      <c r="M62">
        <v>2.8450121299779845</v>
      </c>
      <c r="N62">
        <v>5.1706167589350684</v>
      </c>
      <c r="O62">
        <v>2.6118032703847289</v>
      </c>
      <c r="P62">
        <v>2.4022088349617947</v>
      </c>
      <c r="Q62">
        <v>2.7368749543854172</v>
      </c>
      <c r="R62">
        <v>2.8594496400457512</v>
      </c>
      <c r="S62">
        <v>3.9514408994885573</v>
      </c>
      <c r="T62">
        <v>2.660453723328323</v>
      </c>
      <c r="U62">
        <f t="shared" si="0"/>
        <v>2.4022088349617947</v>
      </c>
      <c r="V62">
        <f t="shared" si="1"/>
        <v>2.8486215074949262</v>
      </c>
      <c r="W62">
        <f t="shared" si="2"/>
        <v>3.3636733706079136</v>
      </c>
      <c r="X62">
        <f t="shared" si="3"/>
        <v>4.5547278937771152</v>
      </c>
      <c r="Y62">
        <f t="shared" si="4"/>
        <v>6.1602530796997321</v>
      </c>
    </row>
    <row r="63" spans="1:25" x14ac:dyDescent="0.3">
      <c r="A63" t="s">
        <v>185</v>
      </c>
      <c r="B63" t="s">
        <v>261</v>
      </c>
      <c r="C63">
        <v>8.153742179430519E-2</v>
      </c>
      <c r="D63">
        <v>0.15850448197965328</v>
      </c>
      <c r="E63">
        <v>2.2338953777993911E-2</v>
      </c>
      <c r="F63">
        <v>2.3902451433492379E-2</v>
      </c>
      <c r="G63">
        <v>6.0810802305912249E-3</v>
      </c>
      <c r="H63">
        <v>8.7308720795401376E-2</v>
      </c>
      <c r="I63">
        <v>-2.7358326058381351E-2</v>
      </c>
      <c r="J63">
        <v>0.18273872033852498</v>
      </c>
      <c r="K63">
        <v>0.21538938292333029</v>
      </c>
      <c r="L63">
        <v>0.1476274229576493</v>
      </c>
      <c r="M63">
        <v>0.18443725840374825</v>
      </c>
      <c r="N63">
        <v>0.20844031501186536</v>
      </c>
      <c r="O63">
        <v>0.10033967941510472</v>
      </c>
      <c r="P63">
        <v>0.2192052295341132</v>
      </c>
      <c r="Q63">
        <v>0.23616492222868454</v>
      </c>
      <c r="R63">
        <v>0.22694193960223438</v>
      </c>
      <c r="S63">
        <v>0.15898086422632673</v>
      </c>
      <c r="T63">
        <v>0.36739725449853144</v>
      </c>
      <c r="U63">
        <f t="shared" si="0"/>
        <v>-2.7358326058381351E-2</v>
      </c>
      <c r="V63">
        <f t="shared" si="1"/>
        <v>8.2980246544579236E-2</v>
      </c>
      <c r="W63">
        <f t="shared" si="2"/>
        <v>0.15874267310299001</v>
      </c>
      <c r="X63">
        <f t="shared" si="3"/>
        <v>0.21365211594546407</v>
      </c>
      <c r="Y63">
        <f t="shared" si="4"/>
        <v>0.36739725449853144</v>
      </c>
    </row>
    <row r="64" spans="1:25" x14ac:dyDescent="0.3">
      <c r="A64" t="s">
        <v>186</v>
      </c>
      <c r="B64" t="s">
        <v>262</v>
      </c>
      <c r="C64">
        <v>0</v>
      </c>
      <c r="D64">
        <v>1.9412133333333332</v>
      </c>
      <c r="E64">
        <v>0</v>
      </c>
      <c r="F64">
        <v>0</v>
      </c>
      <c r="G64">
        <v>0</v>
      </c>
      <c r="H64">
        <v>1.8118000000000001</v>
      </c>
      <c r="I64">
        <v>0</v>
      </c>
      <c r="J64">
        <v>0</v>
      </c>
      <c r="K64">
        <v>0</v>
      </c>
      <c r="L64">
        <v>1.4494400000000001</v>
      </c>
      <c r="M64">
        <v>0</v>
      </c>
      <c r="N64">
        <v>0</v>
      </c>
      <c r="O64">
        <v>0</v>
      </c>
      <c r="P64">
        <v>1.2933093333333334</v>
      </c>
      <c r="Q64">
        <v>0</v>
      </c>
      <c r="R64">
        <v>0</v>
      </c>
      <c r="S64">
        <v>0</v>
      </c>
      <c r="T64">
        <v>0</v>
      </c>
      <c r="U64">
        <f t="shared" si="0"/>
        <v>0</v>
      </c>
      <c r="V64">
        <f t="shared" si="1"/>
        <v>0</v>
      </c>
      <c r="W64">
        <f t="shared" si="2"/>
        <v>0</v>
      </c>
      <c r="X64">
        <f t="shared" si="3"/>
        <v>0</v>
      </c>
      <c r="Y64">
        <f t="shared" si="4"/>
        <v>1.9412133333333332</v>
      </c>
    </row>
    <row r="65" spans="1:25" x14ac:dyDescent="0.3">
      <c r="A65" t="s">
        <v>187</v>
      </c>
      <c r="B65" t="s">
        <v>263</v>
      </c>
      <c r="C65">
        <v>0</v>
      </c>
      <c r="D65">
        <v>0.85140935672514628</v>
      </c>
      <c r="E65">
        <v>0</v>
      </c>
      <c r="F65">
        <v>0</v>
      </c>
      <c r="G65">
        <v>0</v>
      </c>
      <c r="H65">
        <v>1.3520895522388059</v>
      </c>
      <c r="I65">
        <v>0</v>
      </c>
      <c r="J65">
        <v>0</v>
      </c>
      <c r="K65">
        <v>0</v>
      </c>
      <c r="L65">
        <v>1.0816716417910448</v>
      </c>
      <c r="M65">
        <v>0</v>
      </c>
      <c r="N65">
        <v>0</v>
      </c>
      <c r="O65">
        <v>0</v>
      </c>
      <c r="P65">
        <v>1.1651435435435435</v>
      </c>
      <c r="Q65">
        <v>0</v>
      </c>
      <c r="R65">
        <v>0</v>
      </c>
      <c r="S65">
        <v>0</v>
      </c>
      <c r="T65">
        <v>0</v>
      </c>
      <c r="U65">
        <f t="shared" si="0"/>
        <v>0</v>
      </c>
      <c r="V65">
        <f t="shared" si="1"/>
        <v>0</v>
      </c>
      <c r="W65">
        <f t="shared" si="2"/>
        <v>0</v>
      </c>
      <c r="X65">
        <f t="shared" si="3"/>
        <v>0</v>
      </c>
      <c r="Y65">
        <f t="shared" si="4"/>
        <v>1.3520895522388059</v>
      </c>
    </row>
    <row r="66" spans="1:25" x14ac:dyDescent="0.3">
      <c r="A66" t="s">
        <v>189</v>
      </c>
      <c r="B66" t="s">
        <v>264</v>
      </c>
      <c r="C66">
        <v>38.447327999999999</v>
      </c>
      <c r="D66">
        <v>34.04448</v>
      </c>
      <c r="E66">
        <v>35.55558933333333</v>
      </c>
      <c r="F66">
        <v>33.439917333333334</v>
      </c>
      <c r="G66">
        <v>29.659642666666667</v>
      </c>
      <c r="H66">
        <v>27.389978666666668</v>
      </c>
      <c r="I66">
        <v>28.994464000000001</v>
      </c>
      <c r="J66">
        <v>27.627306666666666</v>
      </c>
      <c r="K66">
        <v>25.282088000000002</v>
      </c>
      <c r="L66">
        <v>25.480703999999999</v>
      </c>
      <c r="M66">
        <v>28.235813333333333</v>
      </c>
      <c r="N66">
        <v>26.818714666666665</v>
      </c>
      <c r="O66">
        <v>26.110109333333334</v>
      </c>
      <c r="P66">
        <v>24.654229333333333</v>
      </c>
      <c r="Q66">
        <v>26.496658666666665</v>
      </c>
      <c r="R66">
        <v>23.627717333333333</v>
      </c>
      <c r="S66">
        <v>23.723106666666666</v>
      </c>
      <c r="T66">
        <v>22.896509333333334</v>
      </c>
      <c r="U66">
        <f t="shared" ref="U66:U71" si="5">MIN(C66:T66)</f>
        <v>22.896509333333334</v>
      </c>
      <c r="V66">
        <f t="shared" ref="V66:V71" si="6">_xlfn.QUARTILE.INC(C66:T66,1)</f>
        <v>25.331742000000002</v>
      </c>
      <c r="W66">
        <f t="shared" ref="W66:W71" si="7">MEDIAN(C66:T66)</f>
        <v>27.104346666666665</v>
      </c>
      <c r="X66">
        <f t="shared" ref="X66:X71" si="8">_xlfn.QUARTILE.INC(C66:T66,3)</f>
        <v>29.493348000000001</v>
      </c>
      <c r="Y66">
        <f t="shared" ref="Y66:Y71" si="9">MAX(C66:T66)</f>
        <v>38.447327999999999</v>
      </c>
    </row>
    <row r="67" spans="1:25" x14ac:dyDescent="0.3">
      <c r="A67" t="s">
        <v>190</v>
      </c>
      <c r="B67" t="s">
        <v>265</v>
      </c>
      <c r="C67">
        <v>1.7426438581115442</v>
      </c>
      <c r="D67">
        <v>1.9680136104296497</v>
      </c>
      <c r="E67">
        <v>1.8590607338923029</v>
      </c>
      <c r="F67">
        <v>1.6088556518760133</v>
      </c>
      <c r="G67">
        <v>2.494972742310404</v>
      </c>
      <c r="H67">
        <v>2.9426821021255263</v>
      </c>
      <c r="I67">
        <v>2.9109005084556832</v>
      </c>
      <c r="J67">
        <v>3.1345798939020715</v>
      </c>
      <c r="K67">
        <v>2.7450264392719461</v>
      </c>
      <c r="L67">
        <v>1.9544200976550725</v>
      </c>
      <c r="M67">
        <v>1.5370550685984607</v>
      </c>
      <c r="N67">
        <v>2.6474050260226245</v>
      </c>
      <c r="O67">
        <v>1.1796197253252916</v>
      </c>
      <c r="P67">
        <v>1.2371102575395854</v>
      </c>
      <c r="Q67">
        <v>1.3133731478293564</v>
      </c>
      <c r="R67">
        <v>1.4389879276248889</v>
      </c>
      <c r="S67">
        <v>1.3109581488203064</v>
      </c>
      <c r="T67">
        <v>1.0787670574763593</v>
      </c>
      <c r="U67">
        <f t="shared" si="5"/>
        <v>1.0787670574763593</v>
      </c>
      <c r="V67">
        <f t="shared" si="6"/>
        <v>1.3447768427782396</v>
      </c>
      <c r="W67">
        <f t="shared" si="7"/>
        <v>1.8008522960019235</v>
      </c>
      <c r="X67">
        <f t="shared" si="8"/>
        <v>2.6092969550945693</v>
      </c>
      <c r="Y67">
        <f t="shared" si="9"/>
        <v>3.1345798939020715</v>
      </c>
    </row>
    <row r="68" spans="1:25" x14ac:dyDescent="0.3">
      <c r="A68" t="s">
        <v>191</v>
      </c>
      <c r="B68" t="s">
        <v>266</v>
      </c>
      <c r="C68">
        <v>1</v>
      </c>
      <c r="D68">
        <v>0.14720722388248539</v>
      </c>
      <c r="E68">
        <v>1</v>
      </c>
      <c r="F68">
        <v>1</v>
      </c>
      <c r="G68">
        <v>1</v>
      </c>
      <c r="H68">
        <v>-0.35441834318111143</v>
      </c>
      <c r="I68">
        <v>1</v>
      </c>
      <c r="J68">
        <v>1</v>
      </c>
      <c r="K68">
        <v>1</v>
      </c>
      <c r="L68">
        <v>-8.3253947058987657E-2</v>
      </c>
      <c r="M68">
        <v>1</v>
      </c>
      <c r="N68">
        <v>1</v>
      </c>
      <c r="O68">
        <v>1</v>
      </c>
      <c r="P68">
        <v>-0.16527791793408009</v>
      </c>
      <c r="Q68">
        <v>1</v>
      </c>
      <c r="R68">
        <v>1</v>
      </c>
      <c r="S68">
        <v>1</v>
      </c>
      <c r="T68">
        <v>1</v>
      </c>
      <c r="U68">
        <f t="shared" si="5"/>
        <v>-0.35441834318111143</v>
      </c>
      <c r="V68">
        <f t="shared" si="6"/>
        <v>1</v>
      </c>
      <c r="W68">
        <f t="shared" si="7"/>
        <v>1</v>
      </c>
      <c r="X68">
        <f t="shared" si="8"/>
        <v>1</v>
      </c>
      <c r="Y68">
        <f t="shared" si="9"/>
        <v>1</v>
      </c>
    </row>
    <row r="69" spans="1:25" x14ac:dyDescent="0.3">
      <c r="A69" t="s">
        <v>192</v>
      </c>
      <c r="B69" t="s">
        <v>267</v>
      </c>
      <c r="C69">
        <v>20.979861837693942</v>
      </c>
      <c r="D69">
        <v>13.573839254408593</v>
      </c>
      <c r="E69">
        <v>69.558250738026004</v>
      </c>
      <c r="F69">
        <v>61.118028227895266</v>
      </c>
      <c r="G69">
        <v>204.17022278466112</v>
      </c>
      <c r="H69">
        <v>35.030725046186078</v>
      </c>
      <c r="I69">
        <v>-121.27691370371649</v>
      </c>
      <c r="J69">
        <v>16.966978263459161</v>
      </c>
      <c r="K69">
        <v>12.633660732446495</v>
      </c>
      <c r="L69">
        <v>13.612845569465239</v>
      </c>
      <c r="M69">
        <v>8.2824975432407442</v>
      </c>
      <c r="N69">
        <v>12.567991061503147</v>
      </c>
      <c r="O69">
        <v>11.666042120977362</v>
      </c>
      <c r="P69">
        <v>5.9872951559837615</v>
      </c>
      <c r="Q69">
        <v>5.4763984014791722</v>
      </c>
      <c r="R69">
        <v>6.2893981465266986</v>
      </c>
      <c r="S69">
        <v>8.1737825006412876</v>
      </c>
      <c r="T69">
        <v>2.874983161367179</v>
      </c>
      <c r="U69">
        <f t="shared" si="5"/>
        <v>-121.27691370371649</v>
      </c>
      <c r="V69">
        <f t="shared" si="6"/>
        <v>6.7604942350553454</v>
      </c>
      <c r="W69">
        <f t="shared" si="7"/>
        <v>12.600825896974822</v>
      </c>
      <c r="X69">
        <f t="shared" si="8"/>
        <v>19.976640944135248</v>
      </c>
      <c r="Y69">
        <f t="shared" si="9"/>
        <v>204.17022278466112</v>
      </c>
    </row>
    <row r="70" spans="1:25" x14ac:dyDescent="0.3">
      <c r="A70" t="s">
        <v>193</v>
      </c>
      <c r="B70" t="s">
        <v>268</v>
      </c>
      <c r="C70">
        <v>9.999545520393352E-2</v>
      </c>
      <c r="D70">
        <v>4.9197538868230736E-2</v>
      </c>
      <c r="E70">
        <v>0.18856079849935045</v>
      </c>
      <c r="F70">
        <v>0.13440178915661724</v>
      </c>
      <c r="G70">
        <v>9.9970798747452655E-2</v>
      </c>
      <c r="H70">
        <v>5.1737967035495686E-2</v>
      </c>
      <c r="I70">
        <v>0.22933355426792115</v>
      </c>
      <c r="J70">
        <v>0.17442689300032338</v>
      </c>
      <c r="K70">
        <v>0.11532585127058234</v>
      </c>
      <c r="L70">
        <v>5.5753899192813219E-2</v>
      </c>
      <c r="M70">
        <v>0.22327659471141004</v>
      </c>
      <c r="N70">
        <v>0.17080069661815417</v>
      </c>
      <c r="O70">
        <v>0.11099730046929304</v>
      </c>
      <c r="P70">
        <v>5.2812185488976655E-2</v>
      </c>
      <c r="Q70">
        <v>0.2224720393144185</v>
      </c>
      <c r="R70">
        <v>0.15879352006619901</v>
      </c>
      <c r="S70">
        <v>0.10696753331466842</v>
      </c>
      <c r="T70">
        <v>4.8386094979432699E-2</v>
      </c>
      <c r="U70">
        <f t="shared" si="5"/>
        <v>4.8386094979432699E-2</v>
      </c>
      <c r="V70">
        <f t="shared" si="6"/>
        <v>6.6808124081473075E-2</v>
      </c>
      <c r="W70">
        <f t="shared" si="7"/>
        <v>0.11316157586993769</v>
      </c>
      <c r="X70">
        <f t="shared" si="8"/>
        <v>0.17352034390478108</v>
      </c>
      <c r="Y70">
        <f t="shared" si="9"/>
        <v>0.22933355426792115</v>
      </c>
    </row>
    <row r="71" spans="1:25" x14ac:dyDescent="0.3">
      <c r="A71" t="s">
        <v>194</v>
      </c>
      <c r="B71" t="s">
        <v>269</v>
      </c>
      <c r="C71">
        <v>0.15943024301331629</v>
      </c>
      <c r="D71">
        <v>0.2825108019501239</v>
      </c>
      <c r="E71">
        <v>3.8224334866697421E-2</v>
      </c>
      <c r="F71">
        <v>4.9323881575028296E-2</v>
      </c>
      <c r="G71">
        <v>1.0425468749951832E-2</v>
      </c>
      <c r="H71">
        <v>0.14984565430909708</v>
      </c>
      <c r="I71">
        <v>-4.6421278584632047E-2</v>
      </c>
      <c r="J71">
        <v>0.35912843278798734</v>
      </c>
      <c r="K71">
        <v>0.36464152523532706</v>
      </c>
      <c r="L71">
        <v>0.24305947553895896</v>
      </c>
      <c r="M71">
        <v>0.34138414953278867</v>
      </c>
      <c r="N71">
        <v>0.40710241744054371</v>
      </c>
      <c r="O71">
        <v>0.22216269974076439</v>
      </c>
      <c r="P71">
        <v>0.42565061266564214</v>
      </c>
      <c r="Q71">
        <v>0.49213269040889962</v>
      </c>
      <c r="R71">
        <v>0.45096212070241537</v>
      </c>
      <c r="S71">
        <v>0.47919416016845928</v>
      </c>
      <c r="T71">
        <v>0.90607456623474203</v>
      </c>
      <c r="U71">
        <f t="shared" si="5"/>
        <v>-4.6421278584632047E-2</v>
      </c>
      <c r="V71">
        <f t="shared" si="6"/>
        <v>0.15224180148515187</v>
      </c>
      <c r="W71">
        <f t="shared" si="7"/>
        <v>0.31194747574145631</v>
      </c>
      <c r="X71">
        <f t="shared" si="8"/>
        <v>0.4210135638593675</v>
      </c>
      <c r="Y71">
        <f t="shared" si="9"/>
        <v>0.90607456623474203</v>
      </c>
    </row>
    <row r="72" spans="1:25" x14ac:dyDescent="0.3">
      <c r="A72" t="s">
        <v>149</v>
      </c>
      <c r="B72" t="s">
        <v>276</v>
      </c>
      <c r="C72">
        <v>0</v>
      </c>
      <c r="D72">
        <v>1.3615733736762569E-2</v>
      </c>
      <c r="E72">
        <v>0.22862453531598509</v>
      </c>
      <c r="F72">
        <v>-0.27297297297297302</v>
      </c>
      <c r="G72">
        <v>-8.1885856079404407E-2</v>
      </c>
      <c r="H72">
        <v>-4.5023696682464587E-2</v>
      </c>
      <c r="I72">
        <v>-2.5404157043879778E-2</v>
      </c>
      <c r="J72">
        <v>0.24783861671469723</v>
      </c>
      <c r="K72">
        <v>0.3935742971887552</v>
      </c>
      <c r="L72">
        <v>0.14746543778801841</v>
      </c>
      <c r="M72">
        <v>-0.38873239436619722</v>
      </c>
      <c r="N72">
        <v>1.3051948051948052</v>
      </c>
      <c r="O72">
        <v>9.8360655737705152E-3</v>
      </c>
      <c r="P72">
        <v>-0.12356321839080453</v>
      </c>
      <c r="Q72">
        <v>2.3529411764705799E-2</v>
      </c>
      <c r="R72">
        <v>9.3247588424437255E-2</v>
      </c>
      <c r="S72">
        <v>0.2591093117408908</v>
      </c>
      <c r="T72">
        <v>0</v>
      </c>
      <c r="U72">
        <f>MIN(C72:T72)</f>
        <v>-0.38873239436619722</v>
      </c>
      <c r="V72">
        <f>_xlfn.QUARTILE.INC(C72:T72,1)</f>
        <v>-4.0118811772818383E-2</v>
      </c>
      <c r="W72">
        <f>MEDIAN(C72:T72)</f>
        <v>1.1725899655266542E-2</v>
      </c>
      <c r="X72">
        <f>_xlfn.QUARTILE.INC(C72:T72,3)</f>
        <v>0.20833476093399342</v>
      </c>
      <c r="Y72">
        <f>MAX(C72:T72)</f>
        <v>1.3051948051948052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F477B-8925-42C5-B20C-D36BFCC8E51D}">
  <dimension ref="A1:V275"/>
  <sheetViews>
    <sheetView topLeftCell="B1" zoomScale="110" zoomScaleNormal="110" workbookViewId="0">
      <selection activeCell="A276" sqref="A276"/>
    </sheetView>
  </sheetViews>
  <sheetFormatPr defaultRowHeight="14.4" x14ac:dyDescent="0.3"/>
  <cols>
    <col min="1" max="1" width="9.88671875" bestFit="1" customWidth="1"/>
    <col min="20" max="22" width="8.88671875" style="8"/>
  </cols>
  <sheetData>
    <row r="1" spans="1:22" x14ac:dyDescent="0.3">
      <c r="A1" t="s">
        <v>270</v>
      </c>
      <c r="B1" s="2">
        <v>45444</v>
      </c>
      <c r="C1" s="2">
        <v>45352</v>
      </c>
      <c r="D1" s="2">
        <v>45261</v>
      </c>
      <c r="E1" s="2">
        <v>45170</v>
      </c>
      <c r="F1" s="2">
        <v>45078</v>
      </c>
      <c r="G1" s="2">
        <v>44986</v>
      </c>
      <c r="H1" s="2">
        <v>44896</v>
      </c>
      <c r="I1" s="2">
        <v>44805</v>
      </c>
      <c r="J1" s="2">
        <v>44713</v>
      </c>
      <c r="K1" s="2">
        <v>44621</v>
      </c>
      <c r="L1" s="2">
        <v>44531</v>
      </c>
      <c r="M1" s="2">
        <v>44440</v>
      </c>
      <c r="N1" s="2">
        <v>44348</v>
      </c>
      <c r="O1" s="2">
        <v>44256</v>
      </c>
      <c r="P1" s="2">
        <v>44166</v>
      </c>
      <c r="Q1" s="2">
        <v>44075</v>
      </c>
      <c r="R1" s="2">
        <v>43983</v>
      </c>
      <c r="S1" s="2">
        <v>43891</v>
      </c>
      <c r="T1" s="8" t="s">
        <v>274</v>
      </c>
      <c r="U1" s="8" t="s">
        <v>273</v>
      </c>
      <c r="V1" s="8" t="s">
        <v>275</v>
      </c>
    </row>
    <row r="2" spans="1:22" x14ac:dyDescent="0.3">
      <c r="A2" t="s">
        <v>200</v>
      </c>
      <c r="B2">
        <v>9.6806489518642724</v>
      </c>
      <c r="C2">
        <v>9.094074458934271</v>
      </c>
      <c r="D2">
        <v>8.6539481521249844</v>
      </c>
      <c r="E2">
        <v>7.9191178388735137</v>
      </c>
      <c r="F2">
        <v>7.9969806430646964</v>
      </c>
      <c r="G2">
        <v>7.3519908919019592</v>
      </c>
      <c r="H2">
        <v>7.1204693901797835</v>
      </c>
      <c r="I2">
        <v>7.0550536583419357</v>
      </c>
      <c r="J2">
        <v>7.0324277278157545</v>
      </c>
      <c r="K2">
        <v>7.799097928227102</v>
      </c>
      <c r="L2">
        <v>10.714308781886507</v>
      </c>
      <c r="M2">
        <v>9.9116212827491594</v>
      </c>
      <c r="N2">
        <v>9.0417288687747916</v>
      </c>
      <c r="O2">
        <v>9.4641068923282479</v>
      </c>
      <c r="P2">
        <v>73.059848531201752</v>
      </c>
      <c r="Q2">
        <v>128.89052751747164</v>
      </c>
      <c r="R2">
        <v>153.36544947656807</v>
      </c>
      <c r="S2">
        <v>43.97431291586102</v>
      </c>
      <c r="T2" s="8">
        <v>7.8291029058887052</v>
      </c>
      <c r="U2" s="8">
        <v>9.0679016638545313</v>
      </c>
      <c r="V2" s="8">
        <v>10.513636907102169</v>
      </c>
    </row>
    <row r="3" spans="1:22" x14ac:dyDescent="0.3">
      <c r="A3" t="s">
        <v>277</v>
      </c>
      <c r="B3">
        <f>IF(AND(B2&gt;=7.83,B2&lt;9.068),1,0)</f>
        <v>0</v>
      </c>
      <c r="C3">
        <f t="shared" ref="C3:R3" si="0">IF(AND(C2&gt;=7.83,C2&lt;9.068),1,0)</f>
        <v>0</v>
      </c>
      <c r="D3">
        <f t="shared" si="0"/>
        <v>1</v>
      </c>
      <c r="E3">
        <f t="shared" si="0"/>
        <v>1</v>
      </c>
      <c r="F3">
        <f t="shared" si="0"/>
        <v>1</v>
      </c>
      <c r="G3">
        <f t="shared" si="0"/>
        <v>0</v>
      </c>
      <c r="H3">
        <f t="shared" si="0"/>
        <v>0</v>
      </c>
      <c r="I3">
        <f t="shared" si="0"/>
        <v>0</v>
      </c>
      <c r="J3">
        <f t="shared" si="0"/>
        <v>0</v>
      </c>
      <c r="K3">
        <f t="shared" si="0"/>
        <v>0</v>
      </c>
      <c r="L3">
        <f t="shared" si="0"/>
        <v>0</v>
      </c>
      <c r="M3">
        <f t="shared" si="0"/>
        <v>0</v>
      </c>
      <c r="N3">
        <f t="shared" si="0"/>
        <v>1</v>
      </c>
      <c r="O3">
        <f t="shared" si="0"/>
        <v>0</v>
      </c>
      <c r="P3">
        <f t="shared" si="0"/>
        <v>0</v>
      </c>
      <c r="Q3">
        <f t="shared" si="0"/>
        <v>0</v>
      </c>
      <c r="R3">
        <f t="shared" si="0"/>
        <v>0</v>
      </c>
      <c r="S3">
        <f>IF(AND(S2&gt;=7.83,S2&lt;9.068),1,0)</f>
        <v>0</v>
      </c>
    </row>
    <row r="4" spans="1:22" x14ac:dyDescent="0.3">
      <c r="A4" t="s">
        <v>278</v>
      </c>
      <c r="B4">
        <f>IF(AND(B2&gt;=9.068, B2&lt;10.51),1,0)</f>
        <v>1</v>
      </c>
      <c r="C4">
        <f t="shared" ref="C4:S4" si="1">IF(AND(C2&gt;=9.068, C2&lt;10.51),1,0)</f>
        <v>1</v>
      </c>
      <c r="D4">
        <f t="shared" si="1"/>
        <v>0</v>
      </c>
      <c r="E4">
        <f t="shared" si="1"/>
        <v>0</v>
      </c>
      <c r="F4">
        <f t="shared" si="1"/>
        <v>0</v>
      </c>
      <c r="G4">
        <f t="shared" si="1"/>
        <v>0</v>
      </c>
      <c r="H4">
        <f t="shared" si="1"/>
        <v>0</v>
      </c>
      <c r="I4">
        <f t="shared" si="1"/>
        <v>0</v>
      </c>
      <c r="J4">
        <f t="shared" si="1"/>
        <v>0</v>
      </c>
      <c r="K4">
        <f t="shared" si="1"/>
        <v>0</v>
      </c>
      <c r="L4">
        <f t="shared" si="1"/>
        <v>0</v>
      </c>
      <c r="M4">
        <f t="shared" si="1"/>
        <v>1</v>
      </c>
      <c r="N4">
        <f t="shared" si="1"/>
        <v>0</v>
      </c>
      <c r="O4">
        <f t="shared" si="1"/>
        <v>1</v>
      </c>
      <c r="P4">
        <f t="shared" si="1"/>
        <v>0</v>
      </c>
      <c r="Q4">
        <f t="shared" si="1"/>
        <v>0</v>
      </c>
      <c r="R4">
        <f t="shared" si="1"/>
        <v>0</v>
      </c>
      <c r="S4">
        <f t="shared" si="1"/>
        <v>0</v>
      </c>
    </row>
    <row r="5" spans="1:22" x14ac:dyDescent="0.3">
      <c r="A5" t="s">
        <v>279</v>
      </c>
      <c r="B5">
        <f>IF(B2&gt;=10.51,1,0)</f>
        <v>0</v>
      </c>
      <c r="C5">
        <f t="shared" ref="C5:S5" si="2">IF(C2&gt;=10.51,1,0)</f>
        <v>0</v>
      </c>
      <c r="D5">
        <f t="shared" si="2"/>
        <v>0</v>
      </c>
      <c r="E5">
        <f t="shared" si="2"/>
        <v>0</v>
      </c>
      <c r="F5">
        <f t="shared" si="2"/>
        <v>0</v>
      </c>
      <c r="G5">
        <f t="shared" si="2"/>
        <v>0</v>
      </c>
      <c r="H5">
        <f t="shared" si="2"/>
        <v>0</v>
      </c>
      <c r="I5">
        <f t="shared" si="2"/>
        <v>0</v>
      </c>
      <c r="J5">
        <f t="shared" si="2"/>
        <v>0</v>
      </c>
      <c r="K5">
        <f t="shared" si="2"/>
        <v>0</v>
      </c>
      <c r="L5">
        <f t="shared" si="2"/>
        <v>1</v>
      </c>
      <c r="M5">
        <f t="shared" si="2"/>
        <v>0</v>
      </c>
      <c r="N5">
        <f t="shared" si="2"/>
        <v>0</v>
      </c>
      <c r="O5">
        <f t="shared" si="2"/>
        <v>0</v>
      </c>
      <c r="P5">
        <f t="shared" si="2"/>
        <v>1</v>
      </c>
      <c r="Q5">
        <f t="shared" si="2"/>
        <v>1</v>
      </c>
      <c r="R5">
        <f t="shared" si="2"/>
        <v>1</v>
      </c>
      <c r="S5">
        <f t="shared" si="2"/>
        <v>1</v>
      </c>
    </row>
    <row r="6" spans="1:22" x14ac:dyDescent="0.3">
      <c r="A6" t="s">
        <v>201</v>
      </c>
      <c r="B6">
        <v>11.868306892985952</v>
      </c>
      <c r="C6">
        <v>3.9803712470412358</v>
      </c>
      <c r="D6">
        <v>4.5168745774006096</v>
      </c>
      <c r="E6">
        <v>17.402276810392483</v>
      </c>
      <c r="F6">
        <v>2.8334035693695045</v>
      </c>
      <c r="G6">
        <v>2.3630807658070601</v>
      </c>
      <c r="H6">
        <v>6.5789747513389445</v>
      </c>
      <c r="I6">
        <v>6.8814329527755032</v>
      </c>
      <c r="J6">
        <v>0.17194177687270615</v>
      </c>
      <c r="K6">
        <v>0.46812135828357027</v>
      </c>
      <c r="L6">
        <v>10.461398208512216</v>
      </c>
      <c r="M6">
        <v>7.2595989523819151</v>
      </c>
      <c r="N6">
        <v>8.4605041031652988</v>
      </c>
      <c r="O6">
        <v>-7.6116242088524277</v>
      </c>
      <c r="P6">
        <v>36.466943021597928</v>
      </c>
      <c r="Q6">
        <v>1.553383267741526</v>
      </c>
      <c r="R6">
        <v>2.086583852372502</v>
      </c>
      <c r="S6">
        <v>810.752427184466</v>
      </c>
      <c r="T6" s="8">
        <v>2.1557080807311415</v>
      </c>
      <c r="U6" s="8">
        <v>5.547924664369777</v>
      </c>
      <c r="V6" s="8">
        <v>9.9611746821754874</v>
      </c>
    </row>
    <row r="7" spans="1:22" x14ac:dyDescent="0.3">
      <c r="A7" t="s">
        <v>280</v>
      </c>
      <c r="B7">
        <f>IF(AND(B6&gt;=2.156,B6&lt;5.548),1,0)</f>
        <v>0</v>
      </c>
      <c r="C7">
        <f t="shared" ref="C7:S7" si="3">IF(AND(C6&gt;=2.156,C6&lt;5.548),1,0)</f>
        <v>1</v>
      </c>
      <c r="D7">
        <f t="shared" si="3"/>
        <v>1</v>
      </c>
      <c r="E7">
        <f t="shared" si="3"/>
        <v>0</v>
      </c>
      <c r="F7">
        <f t="shared" si="3"/>
        <v>1</v>
      </c>
      <c r="G7">
        <f t="shared" si="3"/>
        <v>1</v>
      </c>
      <c r="H7">
        <f t="shared" si="3"/>
        <v>0</v>
      </c>
      <c r="I7">
        <f t="shared" si="3"/>
        <v>0</v>
      </c>
      <c r="J7">
        <f t="shared" si="3"/>
        <v>0</v>
      </c>
      <c r="K7">
        <f t="shared" si="3"/>
        <v>0</v>
      </c>
      <c r="L7">
        <f t="shared" si="3"/>
        <v>0</v>
      </c>
      <c r="M7">
        <f t="shared" si="3"/>
        <v>0</v>
      </c>
      <c r="N7">
        <f t="shared" si="3"/>
        <v>0</v>
      </c>
      <c r="O7">
        <f t="shared" si="3"/>
        <v>0</v>
      </c>
      <c r="P7">
        <f t="shared" si="3"/>
        <v>0</v>
      </c>
      <c r="Q7">
        <f t="shared" si="3"/>
        <v>0</v>
      </c>
      <c r="R7">
        <f t="shared" si="3"/>
        <v>0</v>
      </c>
      <c r="S7">
        <f t="shared" si="3"/>
        <v>0</v>
      </c>
    </row>
    <row r="8" spans="1:22" x14ac:dyDescent="0.3">
      <c r="A8" t="s">
        <v>281</v>
      </c>
      <c r="B8">
        <f>IF(AND(B6&gt;=5.548, B6&lt;9.96),1,0)</f>
        <v>0</v>
      </c>
      <c r="C8">
        <f t="shared" ref="C8:S8" si="4">IF(AND(C6&gt;=5.548, C6&lt;9.96),1,0)</f>
        <v>0</v>
      </c>
      <c r="D8">
        <f t="shared" si="4"/>
        <v>0</v>
      </c>
      <c r="E8">
        <f t="shared" si="4"/>
        <v>0</v>
      </c>
      <c r="F8">
        <f t="shared" si="4"/>
        <v>0</v>
      </c>
      <c r="G8">
        <f t="shared" si="4"/>
        <v>0</v>
      </c>
      <c r="H8">
        <f t="shared" si="4"/>
        <v>1</v>
      </c>
      <c r="I8">
        <f t="shared" si="4"/>
        <v>1</v>
      </c>
      <c r="J8">
        <f t="shared" si="4"/>
        <v>0</v>
      </c>
      <c r="K8">
        <f t="shared" si="4"/>
        <v>0</v>
      </c>
      <c r="L8">
        <f t="shared" si="4"/>
        <v>0</v>
      </c>
      <c r="M8">
        <f t="shared" si="4"/>
        <v>1</v>
      </c>
      <c r="N8">
        <f t="shared" si="4"/>
        <v>1</v>
      </c>
      <c r="O8">
        <f t="shared" si="4"/>
        <v>0</v>
      </c>
      <c r="P8">
        <f t="shared" si="4"/>
        <v>0</v>
      </c>
      <c r="Q8">
        <f t="shared" si="4"/>
        <v>0</v>
      </c>
      <c r="R8">
        <f t="shared" si="4"/>
        <v>0</v>
      </c>
      <c r="S8">
        <f t="shared" si="4"/>
        <v>0</v>
      </c>
    </row>
    <row r="9" spans="1:22" x14ac:dyDescent="0.3">
      <c r="A9" t="s">
        <v>282</v>
      </c>
      <c r="B9">
        <f>IF(B6&gt;=9.96,1,0)</f>
        <v>1</v>
      </c>
      <c r="C9">
        <f t="shared" ref="C9:S9" si="5">IF(C6&gt;=9.96,1,0)</f>
        <v>0</v>
      </c>
      <c r="D9">
        <f t="shared" si="5"/>
        <v>0</v>
      </c>
      <c r="E9">
        <f t="shared" si="5"/>
        <v>1</v>
      </c>
      <c r="F9">
        <f t="shared" si="5"/>
        <v>0</v>
      </c>
      <c r="G9">
        <f t="shared" si="5"/>
        <v>0</v>
      </c>
      <c r="H9">
        <f t="shared" si="5"/>
        <v>0</v>
      </c>
      <c r="I9">
        <f t="shared" si="5"/>
        <v>0</v>
      </c>
      <c r="J9">
        <f t="shared" si="5"/>
        <v>0</v>
      </c>
      <c r="K9">
        <f t="shared" si="5"/>
        <v>0</v>
      </c>
      <c r="L9">
        <f t="shared" si="5"/>
        <v>1</v>
      </c>
      <c r="M9">
        <f t="shared" si="5"/>
        <v>0</v>
      </c>
      <c r="N9">
        <f t="shared" si="5"/>
        <v>0</v>
      </c>
      <c r="O9">
        <f t="shared" si="5"/>
        <v>0</v>
      </c>
      <c r="P9">
        <f t="shared" si="5"/>
        <v>1</v>
      </c>
      <c r="Q9">
        <f t="shared" si="5"/>
        <v>0</v>
      </c>
      <c r="R9">
        <f t="shared" si="5"/>
        <v>0</v>
      </c>
      <c r="S9">
        <f t="shared" si="5"/>
        <v>1</v>
      </c>
    </row>
    <row r="10" spans="1:22" x14ac:dyDescent="0.3">
      <c r="A10" t="s">
        <v>202</v>
      </c>
      <c r="B10">
        <v>0.26287449919913275</v>
      </c>
      <c r="C10">
        <v>0.28832715228458172</v>
      </c>
      <c r="D10">
        <v>0.2879400532965683</v>
      </c>
      <c r="E10">
        <v>0.30783421009723355</v>
      </c>
      <c r="F10">
        <v>0.31852026587986387</v>
      </c>
      <c r="G10">
        <v>0.35395199594630311</v>
      </c>
      <c r="H10">
        <v>0.35376994929022965</v>
      </c>
      <c r="I10">
        <v>0.36435363010704869</v>
      </c>
      <c r="J10">
        <v>0.38190770297146148</v>
      </c>
      <c r="K10">
        <v>0.33879746254707693</v>
      </c>
      <c r="L10">
        <v>0.2406447401580066</v>
      </c>
      <c r="M10">
        <v>0.25376804908664474</v>
      </c>
      <c r="N10">
        <v>0.27541644925242681</v>
      </c>
      <c r="O10">
        <v>0.26623007156873835</v>
      </c>
      <c r="P10">
        <v>3.9416398096320665E-2</v>
      </c>
      <c r="Q10">
        <v>2.1383260742933674E-2</v>
      </c>
      <c r="R10">
        <v>1.5761246871067225E-2</v>
      </c>
      <c r="S10">
        <v>6.1656516440699506E-2</v>
      </c>
      <c r="T10" s="8">
        <v>0.24392556739016613</v>
      </c>
      <c r="U10" s="8">
        <v>0.28167825127449753</v>
      </c>
      <c r="V10" s="8">
        <v>0.33372816338027367</v>
      </c>
    </row>
    <row r="11" spans="1:22" x14ac:dyDescent="0.3">
      <c r="A11" t="s">
        <v>283</v>
      </c>
      <c r="B11">
        <f>IF(AND(B10&gt;=0.2439,B10&lt;0.2817),1,0)</f>
        <v>1</v>
      </c>
      <c r="C11">
        <f t="shared" ref="C11:S11" si="6">IF(AND(C10&gt;=0.2439,C10&lt;0.2817),1,0)</f>
        <v>0</v>
      </c>
      <c r="D11">
        <f t="shared" si="6"/>
        <v>0</v>
      </c>
      <c r="E11">
        <f t="shared" si="6"/>
        <v>0</v>
      </c>
      <c r="F11">
        <f t="shared" si="6"/>
        <v>0</v>
      </c>
      <c r="G11">
        <f t="shared" si="6"/>
        <v>0</v>
      </c>
      <c r="H11">
        <f t="shared" si="6"/>
        <v>0</v>
      </c>
      <c r="I11">
        <f t="shared" si="6"/>
        <v>0</v>
      </c>
      <c r="J11">
        <f t="shared" si="6"/>
        <v>0</v>
      </c>
      <c r="K11">
        <f t="shared" si="6"/>
        <v>0</v>
      </c>
      <c r="L11">
        <f t="shared" si="6"/>
        <v>0</v>
      </c>
      <c r="M11">
        <f t="shared" si="6"/>
        <v>1</v>
      </c>
      <c r="N11">
        <f t="shared" si="6"/>
        <v>1</v>
      </c>
      <c r="O11">
        <f t="shared" si="6"/>
        <v>1</v>
      </c>
      <c r="P11">
        <f t="shared" si="6"/>
        <v>0</v>
      </c>
      <c r="Q11">
        <f t="shared" si="6"/>
        <v>0</v>
      </c>
      <c r="R11">
        <f t="shared" si="6"/>
        <v>0</v>
      </c>
      <c r="S11">
        <f t="shared" si="6"/>
        <v>0</v>
      </c>
    </row>
    <row r="12" spans="1:22" x14ac:dyDescent="0.3">
      <c r="A12" t="s">
        <v>284</v>
      </c>
      <c r="B12">
        <f>IF(AND(B10&gt;=0.2817, B10&lt;0.3337),1,0)</f>
        <v>0</v>
      </c>
      <c r="C12">
        <f t="shared" ref="C12:S12" si="7">IF(AND(C10&gt;=0.2817, C10&lt;0.3337),1,0)</f>
        <v>1</v>
      </c>
      <c r="D12">
        <f t="shared" si="7"/>
        <v>1</v>
      </c>
      <c r="E12">
        <f t="shared" si="7"/>
        <v>1</v>
      </c>
      <c r="F12">
        <f t="shared" si="7"/>
        <v>1</v>
      </c>
      <c r="G12">
        <f t="shared" si="7"/>
        <v>0</v>
      </c>
      <c r="H12">
        <f t="shared" si="7"/>
        <v>0</v>
      </c>
      <c r="I12">
        <f t="shared" si="7"/>
        <v>0</v>
      </c>
      <c r="J12">
        <f t="shared" si="7"/>
        <v>0</v>
      </c>
      <c r="K12">
        <f t="shared" si="7"/>
        <v>0</v>
      </c>
      <c r="L12">
        <f t="shared" si="7"/>
        <v>0</v>
      </c>
      <c r="M12">
        <f t="shared" si="7"/>
        <v>0</v>
      </c>
      <c r="N12">
        <f t="shared" si="7"/>
        <v>0</v>
      </c>
      <c r="O12">
        <f t="shared" si="7"/>
        <v>0</v>
      </c>
      <c r="P12">
        <f t="shared" si="7"/>
        <v>0</v>
      </c>
      <c r="Q12">
        <f t="shared" si="7"/>
        <v>0</v>
      </c>
      <c r="R12">
        <f t="shared" si="7"/>
        <v>0</v>
      </c>
      <c r="S12">
        <f t="shared" si="7"/>
        <v>0</v>
      </c>
    </row>
    <row r="13" spans="1:22" x14ac:dyDescent="0.3">
      <c r="A13" t="s">
        <v>285</v>
      </c>
      <c r="B13">
        <f>IF(B10&gt;=0.3337,1,0)</f>
        <v>0</v>
      </c>
      <c r="C13">
        <f t="shared" ref="C13:S13" si="8">IF(C10&gt;=0.3337,1,0)</f>
        <v>0</v>
      </c>
      <c r="D13">
        <f t="shared" si="8"/>
        <v>0</v>
      </c>
      <c r="E13">
        <f t="shared" si="8"/>
        <v>0</v>
      </c>
      <c r="F13">
        <f t="shared" si="8"/>
        <v>0</v>
      </c>
      <c r="G13">
        <f t="shared" si="8"/>
        <v>1</v>
      </c>
      <c r="H13">
        <f t="shared" si="8"/>
        <v>1</v>
      </c>
      <c r="I13">
        <f t="shared" si="8"/>
        <v>1</v>
      </c>
      <c r="J13">
        <f t="shared" si="8"/>
        <v>1</v>
      </c>
      <c r="K13">
        <f t="shared" si="8"/>
        <v>1</v>
      </c>
      <c r="L13">
        <f t="shared" si="8"/>
        <v>0</v>
      </c>
      <c r="M13">
        <f t="shared" si="8"/>
        <v>0</v>
      </c>
      <c r="N13">
        <f t="shared" si="8"/>
        <v>0</v>
      </c>
      <c r="O13">
        <f t="shared" si="8"/>
        <v>0</v>
      </c>
      <c r="P13">
        <f t="shared" si="8"/>
        <v>0</v>
      </c>
      <c r="Q13">
        <f t="shared" si="8"/>
        <v>0</v>
      </c>
      <c r="R13">
        <f t="shared" si="8"/>
        <v>0</v>
      </c>
      <c r="S13">
        <f t="shared" si="8"/>
        <v>0</v>
      </c>
    </row>
    <row r="14" spans="1:22" x14ac:dyDescent="0.3">
      <c r="A14" t="s">
        <v>203</v>
      </c>
      <c r="B14">
        <v>2.1508421179683931E-2</v>
      </c>
      <c r="C14">
        <v>5.6032345888013209E-2</v>
      </c>
      <c r="D14">
        <v>2.6191971879698187E-2</v>
      </c>
      <c r="E14">
        <v>9.5259189974352034E-3</v>
      </c>
      <c r="F14">
        <v>5.9620283329330809E-2</v>
      </c>
      <c r="G14">
        <v>0.10061394060573289</v>
      </c>
      <c r="H14">
        <v>3.5693970531894388E-2</v>
      </c>
      <c r="I14">
        <v>3.544037700179771E-2</v>
      </c>
      <c r="J14">
        <v>-0.20176637021812671</v>
      </c>
      <c r="K14">
        <v>-0.23320265573275603</v>
      </c>
      <c r="L14">
        <v>1.6490581829890823E-2</v>
      </c>
      <c r="M14">
        <v>1.9204787301703205E-2</v>
      </c>
      <c r="N14">
        <v>1.9288902074789383E-2</v>
      </c>
      <c r="O14">
        <v>-1.9943741581767618E-2</v>
      </c>
      <c r="P14">
        <v>7.9430193120607895E-3</v>
      </c>
      <c r="Q14">
        <v>1.0599475206889591E-2</v>
      </c>
      <c r="R14">
        <v>2.9211693893350908E-2</v>
      </c>
      <c r="S14">
        <v>2.3667626105506486E-4</v>
      </c>
      <c r="T14" s="8">
        <v>8.3387442334043934E-3</v>
      </c>
      <c r="U14" s="8">
        <v>1.9246844688246292E-2</v>
      </c>
      <c r="V14" s="8">
        <v>3.3883206224686012E-2</v>
      </c>
    </row>
    <row r="15" spans="1:22" x14ac:dyDescent="0.3">
      <c r="A15" t="s">
        <v>286</v>
      </c>
      <c r="B15">
        <f>IF(AND(B14&gt;=0.0083,B14&lt;0.0192),1,0)</f>
        <v>0</v>
      </c>
      <c r="C15">
        <f t="shared" ref="C15:S15" si="9">IF(AND(C14&gt;=0.0083,C14&lt;0.0192),1,0)</f>
        <v>0</v>
      </c>
      <c r="D15">
        <f t="shared" si="9"/>
        <v>0</v>
      </c>
      <c r="E15">
        <f t="shared" si="9"/>
        <v>1</v>
      </c>
      <c r="F15">
        <f t="shared" si="9"/>
        <v>0</v>
      </c>
      <c r="G15">
        <f t="shared" si="9"/>
        <v>0</v>
      </c>
      <c r="H15">
        <f t="shared" si="9"/>
        <v>0</v>
      </c>
      <c r="I15">
        <f t="shared" si="9"/>
        <v>0</v>
      </c>
      <c r="J15">
        <f t="shared" si="9"/>
        <v>0</v>
      </c>
      <c r="K15">
        <f t="shared" si="9"/>
        <v>0</v>
      </c>
      <c r="L15">
        <f t="shared" si="9"/>
        <v>1</v>
      </c>
      <c r="M15">
        <f t="shared" si="9"/>
        <v>0</v>
      </c>
      <c r="N15">
        <f t="shared" si="9"/>
        <v>0</v>
      </c>
      <c r="O15">
        <f t="shared" si="9"/>
        <v>0</v>
      </c>
      <c r="P15">
        <f t="shared" si="9"/>
        <v>0</v>
      </c>
      <c r="Q15">
        <f t="shared" si="9"/>
        <v>1</v>
      </c>
      <c r="R15">
        <f t="shared" si="9"/>
        <v>0</v>
      </c>
      <c r="S15">
        <f t="shared" si="9"/>
        <v>0</v>
      </c>
    </row>
    <row r="16" spans="1:22" x14ac:dyDescent="0.3">
      <c r="A16" t="s">
        <v>287</v>
      </c>
      <c r="B16">
        <f>IF(AND(B14&gt;=0.0192, B14&lt;0.0339),1,0)</f>
        <v>1</v>
      </c>
      <c r="C16">
        <f t="shared" ref="C16:S16" si="10">IF(AND(C14&gt;=0.0192, C14&lt;0.0339),1,0)</f>
        <v>0</v>
      </c>
      <c r="D16">
        <f t="shared" si="10"/>
        <v>1</v>
      </c>
      <c r="E16">
        <f t="shared" si="10"/>
        <v>0</v>
      </c>
      <c r="F16">
        <f t="shared" si="10"/>
        <v>0</v>
      </c>
      <c r="G16">
        <f t="shared" si="10"/>
        <v>0</v>
      </c>
      <c r="H16">
        <f t="shared" si="10"/>
        <v>0</v>
      </c>
      <c r="I16">
        <f t="shared" si="10"/>
        <v>0</v>
      </c>
      <c r="J16">
        <f t="shared" si="10"/>
        <v>0</v>
      </c>
      <c r="K16">
        <f t="shared" si="10"/>
        <v>0</v>
      </c>
      <c r="L16">
        <f t="shared" si="10"/>
        <v>0</v>
      </c>
      <c r="M16">
        <f t="shared" si="10"/>
        <v>1</v>
      </c>
      <c r="N16">
        <f t="shared" si="10"/>
        <v>1</v>
      </c>
      <c r="O16">
        <f t="shared" si="10"/>
        <v>0</v>
      </c>
      <c r="P16">
        <f t="shared" si="10"/>
        <v>0</v>
      </c>
      <c r="Q16">
        <f t="shared" si="10"/>
        <v>0</v>
      </c>
      <c r="R16">
        <f t="shared" si="10"/>
        <v>1</v>
      </c>
      <c r="S16">
        <f t="shared" si="10"/>
        <v>0</v>
      </c>
    </row>
    <row r="17" spans="1:22" x14ac:dyDescent="0.3">
      <c r="A17" t="s">
        <v>288</v>
      </c>
      <c r="B17">
        <f>IF(B14&gt;=0.0339,1,0)</f>
        <v>0</v>
      </c>
      <c r="C17">
        <f t="shared" ref="C17:S17" si="11">IF(C14&gt;=0.0339,1,0)</f>
        <v>1</v>
      </c>
      <c r="D17">
        <f t="shared" si="11"/>
        <v>0</v>
      </c>
      <c r="E17">
        <f t="shared" si="11"/>
        <v>0</v>
      </c>
      <c r="F17">
        <f t="shared" si="11"/>
        <v>1</v>
      </c>
      <c r="G17">
        <f t="shared" si="11"/>
        <v>1</v>
      </c>
      <c r="H17">
        <f t="shared" si="11"/>
        <v>1</v>
      </c>
      <c r="I17">
        <f t="shared" si="11"/>
        <v>1</v>
      </c>
      <c r="J17">
        <f t="shared" si="11"/>
        <v>0</v>
      </c>
      <c r="K17">
        <f t="shared" si="11"/>
        <v>0</v>
      </c>
      <c r="L17">
        <f t="shared" si="11"/>
        <v>0</v>
      </c>
      <c r="M17">
        <f t="shared" si="11"/>
        <v>0</v>
      </c>
      <c r="N17">
        <f t="shared" si="11"/>
        <v>0</v>
      </c>
      <c r="O17">
        <f t="shared" si="11"/>
        <v>0</v>
      </c>
      <c r="P17">
        <f t="shared" si="11"/>
        <v>0</v>
      </c>
      <c r="Q17">
        <f t="shared" si="11"/>
        <v>0</v>
      </c>
      <c r="R17">
        <f t="shared" si="11"/>
        <v>0</v>
      </c>
      <c r="S17">
        <f t="shared" si="11"/>
        <v>0</v>
      </c>
    </row>
    <row r="18" spans="1:22" x14ac:dyDescent="0.3">
      <c r="A18" t="s">
        <v>204</v>
      </c>
      <c r="B18">
        <v>0.2329158233127622</v>
      </c>
      <c r="C18">
        <v>0.35786584402701083</v>
      </c>
      <c r="D18">
        <v>6.6093599276070739E-2</v>
      </c>
      <c r="E18">
        <v>5.9188998881663422E-2</v>
      </c>
      <c r="F18">
        <v>2.6145038057808163E-2</v>
      </c>
      <c r="G18">
        <v>0.15332559017310513</v>
      </c>
      <c r="H18">
        <v>-4.3844531702036005E-2</v>
      </c>
      <c r="I18">
        <v>0.32230519854481965</v>
      </c>
      <c r="J18">
        <v>0.35165130618834178</v>
      </c>
      <c r="K18">
        <v>0.28019692496729015</v>
      </c>
      <c r="L18">
        <v>0.58559416893356186</v>
      </c>
      <c r="M18">
        <v>0.61942884444053292</v>
      </c>
      <c r="N18">
        <v>0.26602171050863854</v>
      </c>
      <c r="O18">
        <v>0.56948270634821496</v>
      </c>
      <c r="P18">
        <v>5.8445533966771475</v>
      </c>
      <c r="Q18">
        <v>10.470966508956426</v>
      </c>
      <c r="R18">
        <v>10.015569282605643</v>
      </c>
      <c r="S18">
        <v>5.7105143748449079</v>
      </c>
      <c r="T18" s="8">
        <v>0.17322314845801939</v>
      </c>
      <c r="U18" s="8">
        <v>0.33697825236658074</v>
      </c>
      <c r="V18" s="8">
        <v>0.61097017556379019</v>
      </c>
    </row>
    <row r="19" spans="1:22" x14ac:dyDescent="0.3">
      <c r="A19" t="s">
        <v>289</v>
      </c>
      <c r="B19">
        <f>IF(AND(B18&gt;=0.1732,B18&lt;0.337),1,0)</f>
        <v>1</v>
      </c>
      <c r="C19">
        <f t="shared" ref="C19:S19" si="12">IF(AND(C18&gt;=0.1732,C18&lt;0.337),1,0)</f>
        <v>0</v>
      </c>
      <c r="D19">
        <f t="shared" si="12"/>
        <v>0</v>
      </c>
      <c r="E19">
        <f t="shared" si="12"/>
        <v>0</v>
      </c>
      <c r="F19">
        <f t="shared" si="12"/>
        <v>0</v>
      </c>
      <c r="G19">
        <f t="shared" si="12"/>
        <v>0</v>
      </c>
      <c r="H19">
        <f t="shared" si="12"/>
        <v>0</v>
      </c>
      <c r="I19">
        <f t="shared" si="12"/>
        <v>1</v>
      </c>
      <c r="J19">
        <f t="shared" si="12"/>
        <v>0</v>
      </c>
      <c r="K19">
        <f t="shared" si="12"/>
        <v>1</v>
      </c>
      <c r="L19">
        <f t="shared" si="12"/>
        <v>0</v>
      </c>
      <c r="M19">
        <f t="shared" si="12"/>
        <v>0</v>
      </c>
      <c r="N19">
        <f t="shared" si="12"/>
        <v>1</v>
      </c>
      <c r="O19">
        <f t="shared" si="12"/>
        <v>0</v>
      </c>
      <c r="P19">
        <f t="shared" si="12"/>
        <v>0</v>
      </c>
      <c r="Q19">
        <f t="shared" si="12"/>
        <v>0</v>
      </c>
      <c r="R19">
        <f t="shared" si="12"/>
        <v>0</v>
      </c>
      <c r="S19">
        <f t="shared" si="12"/>
        <v>0</v>
      </c>
    </row>
    <row r="20" spans="1:22" x14ac:dyDescent="0.3">
      <c r="A20" t="s">
        <v>290</v>
      </c>
      <c r="B20">
        <f>IF(AND(B18&gt;=0.337, B18&lt;0.611),1,0)</f>
        <v>0</v>
      </c>
      <c r="C20">
        <f t="shared" ref="C20:S20" si="13">IF(AND(C18&gt;=0.337, C18&lt;0.611),1,0)</f>
        <v>1</v>
      </c>
      <c r="D20">
        <f t="shared" si="13"/>
        <v>0</v>
      </c>
      <c r="E20">
        <f t="shared" si="13"/>
        <v>0</v>
      </c>
      <c r="F20">
        <f t="shared" si="13"/>
        <v>0</v>
      </c>
      <c r="G20">
        <f t="shared" si="13"/>
        <v>0</v>
      </c>
      <c r="H20">
        <f t="shared" si="13"/>
        <v>0</v>
      </c>
      <c r="I20">
        <f t="shared" si="13"/>
        <v>0</v>
      </c>
      <c r="J20">
        <f t="shared" si="13"/>
        <v>1</v>
      </c>
      <c r="K20">
        <f t="shared" si="13"/>
        <v>0</v>
      </c>
      <c r="L20">
        <f t="shared" si="13"/>
        <v>1</v>
      </c>
      <c r="M20">
        <f t="shared" si="13"/>
        <v>0</v>
      </c>
      <c r="N20">
        <f t="shared" si="13"/>
        <v>0</v>
      </c>
      <c r="O20">
        <f t="shared" si="13"/>
        <v>1</v>
      </c>
      <c r="P20">
        <f t="shared" si="13"/>
        <v>0</v>
      </c>
      <c r="Q20">
        <f t="shared" si="13"/>
        <v>0</v>
      </c>
      <c r="R20">
        <f t="shared" si="13"/>
        <v>0</v>
      </c>
      <c r="S20">
        <f t="shared" si="13"/>
        <v>0</v>
      </c>
    </row>
    <row r="21" spans="1:22" x14ac:dyDescent="0.3">
      <c r="A21" t="s">
        <v>291</v>
      </c>
      <c r="B21">
        <f>IF(B18&gt;=0.611,1,0)</f>
        <v>0</v>
      </c>
      <c r="C21">
        <f t="shared" ref="C21:S21" si="14">IF(C18&gt;=0.611,1,0)</f>
        <v>0</v>
      </c>
      <c r="D21">
        <f t="shared" si="14"/>
        <v>0</v>
      </c>
      <c r="E21">
        <f t="shared" si="14"/>
        <v>0</v>
      </c>
      <c r="F21">
        <f t="shared" si="14"/>
        <v>0</v>
      </c>
      <c r="G21">
        <f t="shared" si="14"/>
        <v>0</v>
      </c>
      <c r="H21">
        <f t="shared" si="14"/>
        <v>0</v>
      </c>
      <c r="I21">
        <f t="shared" si="14"/>
        <v>0</v>
      </c>
      <c r="J21">
        <f t="shared" si="14"/>
        <v>0</v>
      </c>
      <c r="K21">
        <f t="shared" si="14"/>
        <v>0</v>
      </c>
      <c r="L21">
        <f t="shared" si="14"/>
        <v>0</v>
      </c>
      <c r="M21">
        <f t="shared" si="14"/>
        <v>1</v>
      </c>
      <c r="N21">
        <f t="shared" si="14"/>
        <v>0</v>
      </c>
      <c r="O21">
        <f t="shared" si="14"/>
        <v>0</v>
      </c>
      <c r="P21">
        <f t="shared" si="14"/>
        <v>1</v>
      </c>
      <c r="Q21">
        <f t="shared" si="14"/>
        <v>1</v>
      </c>
      <c r="R21">
        <f t="shared" si="14"/>
        <v>1</v>
      </c>
      <c r="S21">
        <f t="shared" si="14"/>
        <v>1</v>
      </c>
    </row>
    <row r="22" spans="1:22" x14ac:dyDescent="0.3">
      <c r="A22" t="s">
        <v>205</v>
      </c>
      <c r="B22">
        <v>0.12583222161430371</v>
      </c>
      <c r="C22">
        <v>0.12660281835170006</v>
      </c>
      <c r="D22">
        <v>0.1424082850375995</v>
      </c>
      <c r="E22">
        <v>0.11259084960712448</v>
      </c>
      <c r="F22">
        <v>0.1228141832751982</v>
      </c>
      <c r="G22">
        <v>0.11180030266995766</v>
      </c>
      <c r="H22">
        <v>0.11813564300558092</v>
      </c>
      <c r="I22">
        <v>9.7684190162920514E-2</v>
      </c>
      <c r="J22">
        <v>0.11270499933382876</v>
      </c>
      <c r="K22">
        <v>0.1300217630599862</v>
      </c>
      <c r="L22">
        <v>0.13624249742403216</v>
      </c>
      <c r="M22">
        <v>0.12651584880860373</v>
      </c>
      <c r="N22">
        <v>0.11265710768405261</v>
      </c>
      <c r="O22">
        <v>0.12787995387166787</v>
      </c>
      <c r="P22">
        <v>0.13918394155627062</v>
      </c>
      <c r="Q22">
        <v>0.14424608265531663</v>
      </c>
      <c r="R22">
        <v>9.9158765140359817E-2</v>
      </c>
      <c r="S22">
        <v>0.24519989605644488</v>
      </c>
      <c r="T22" s="8">
        <v>0.11266908059649665</v>
      </c>
      <c r="U22" s="8">
        <v>0.12617403521145371</v>
      </c>
      <c r="V22" s="8">
        <v>0.13468731383302068</v>
      </c>
    </row>
    <row r="23" spans="1:22" x14ac:dyDescent="0.3">
      <c r="A23" t="s">
        <v>292</v>
      </c>
      <c r="B23">
        <f>IF(AND(B22&gt;=0.1127,B22&lt;0.1262),1,0)</f>
        <v>1</v>
      </c>
      <c r="C23">
        <f t="shared" ref="C23:S23" si="15">IF(AND(C22&gt;=0.1127,C22&lt;0.1262),1,0)</f>
        <v>0</v>
      </c>
      <c r="D23">
        <f t="shared" si="15"/>
        <v>0</v>
      </c>
      <c r="E23">
        <f t="shared" si="15"/>
        <v>0</v>
      </c>
      <c r="F23">
        <f t="shared" si="15"/>
        <v>1</v>
      </c>
      <c r="G23">
        <f t="shared" si="15"/>
        <v>0</v>
      </c>
      <c r="H23">
        <f t="shared" si="15"/>
        <v>1</v>
      </c>
      <c r="I23">
        <f t="shared" si="15"/>
        <v>0</v>
      </c>
      <c r="J23">
        <f t="shared" si="15"/>
        <v>1</v>
      </c>
      <c r="K23">
        <f t="shared" si="15"/>
        <v>0</v>
      </c>
      <c r="L23">
        <f t="shared" si="15"/>
        <v>0</v>
      </c>
      <c r="M23">
        <f t="shared" si="15"/>
        <v>0</v>
      </c>
      <c r="N23">
        <f t="shared" si="15"/>
        <v>0</v>
      </c>
      <c r="O23">
        <f t="shared" si="15"/>
        <v>0</v>
      </c>
      <c r="P23">
        <f t="shared" si="15"/>
        <v>0</v>
      </c>
      <c r="Q23">
        <f t="shared" si="15"/>
        <v>0</v>
      </c>
      <c r="R23">
        <f t="shared" si="15"/>
        <v>0</v>
      </c>
      <c r="S23">
        <f t="shared" si="15"/>
        <v>0</v>
      </c>
    </row>
    <row r="24" spans="1:22" x14ac:dyDescent="0.3">
      <c r="A24" t="s">
        <v>293</v>
      </c>
      <c r="B24">
        <f>IF(AND(B22&gt;=0.1262, B22&lt;0.1347),1,0)</f>
        <v>0</v>
      </c>
      <c r="C24">
        <f t="shared" ref="C24:S24" si="16">IF(AND(C22&gt;=0.1262, C22&lt;0.1347),1,0)</f>
        <v>1</v>
      </c>
      <c r="D24">
        <f t="shared" si="16"/>
        <v>0</v>
      </c>
      <c r="E24">
        <f t="shared" si="16"/>
        <v>0</v>
      </c>
      <c r="F24">
        <f t="shared" si="16"/>
        <v>0</v>
      </c>
      <c r="G24">
        <f t="shared" si="16"/>
        <v>0</v>
      </c>
      <c r="H24">
        <f t="shared" si="16"/>
        <v>0</v>
      </c>
      <c r="I24">
        <f t="shared" si="16"/>
        <v>0</v>
      </c>
      <c r="J24">
        <f t="shared" si="16"/>
        <v>0</v>
      </c>
      <c r="K24">
        <f t="shared" si="16"/>
        <v>1</v>
      </c>
      <c r="L24">
        <f t="shared" si="16"/>
        <v>0</v>
      </c>
      <c r="M24">
        <f t="shared" si="16"/>
        <v>1</v>
      </c>
      <c r="N24">
        <f t="shared" si="16"/>
        <v>0</v>
      </c>
      <c r="O24">
        <f t="shared" si="16"/>
        <v>1</v>
      </c>
      <c r="P24">
        <f t="shared" si="16"/>
        <v>0</v>
      </c>
      <c r="Q24">
        <f t="shared" si="16"/>
        <v>0</v>
      </c>
      <c r="R24">
        <f t="shared" si="16"/>
        <v>0</v>
      </c>
      <c r="S24">
        <f t="shared" si="16"/>
        <v>0</v>
      </c>
    </row>
    <row r="25" spans="1:22" x14ac:dyDescent="0.3">
      <c r="A25" t="s">
        <v>294</v>
      </c>
      <c r="B25">
        <f>IF(B22&gt;=0.1347,1,0)</f>
        <v>0</v>
      </c>
      <c r="C25">
        <f t="shared" ref="C25:S25" si="17">IF(C22&gt;=0.1347,1,0)</f>
        <v>0</v>
      </c>
      <c r="D25">
        <f t="shared" si="17"/>
        <v>1</v>
      </c>
      <c r="E25">
        <f t="shared" si="17"/>
        <v>0</v>
      </c>
      <c r="F25">
        <f t="shared" si="17"/>
        <v>0</v>
      </c>
      <c r="G25">
        <f t="shared" si="17"/>
        <v>0</v>
      </c>
      <c r="H25">
        <f t="shared" si="17"/>
        <v>0</v>
      </c>
      <c r="I25">
        <f t="shared" si="17"/>
        <v>0</v>
      </c>
      <c r="J25">
        <f t="shared" si="17"/>
        <v>0</v>
      </c>
      <c r="K25">
        <f t="shared" si="17"/>
        <v>0</v>
      </c>
      <c r="L25">
        <f t="shared" si="17"/>
        <v>1</v>
      </c>
      <c r="M25">
        <f t="shared" si="17"/>
        <v>0</v>
      </c>
      <c r="N25">
        <f t="shared" si="17"/>
        <v>0</v>
      </c>
      <c r="O25">
        <f t="shared" si="17"/>
        <v>0</v>
      </c>
      <c r="P25">
        <f t="shared" si="17"/>
        <v>1</v>
      </c>
      <c r="Q25">
        <f t="shared" si="17"/>
        <v>1</v>
      </c>
      <c r="R25">
        <f t="shared" si="17"/>
        <v>0</v>
      </c>
      <c r="S25">
        <f t="shared" si="17"/>
        <v>1</v>
      </c>
    </row>
    <row r="26" spans="1:22" x14ac:dyDescent="0.3">
      <c r="A26" t="s">
        <v>206</v>
      </c>
      <c r="B26">
        <v>5.3682442565806525</v>
      </c>
      <c r="C26">
        <v>4.7889495145747905</v>
      </c>
      <c r="D26">
        <v>6.7793523094952439</v>
      </c>
      <c r="E26">
        <v>4.5093159774448646</v>
      </c>
      <c r="F26">
        <v>4.7955291025237319</v>
      </c>
      <c r="G26">
        <v>4.7450459272062702</v>
      </c>
      <c r="H26">
        <v>5.0232192621103504</v>
      </c>
      <c r="I26">
        <v>5.1281517755001982</v>
      </c>
      <c r="J26">
        <v>5.5976156943962723</v>
      </c>
      <c r="K26">
        <v>3.3479316545206279</v>
      </c>
      <c r="L26">
        <v>5.1377986064582881</v>
      </c>
      <c r="M26">
        <v>5.7168270004718424</v>
      </c>
      <c r="N26">
        <v>5.238909956368401</v>
      </c>
      <c r="O26">
        <v>5.4846332129947264</v>
      </c>
      <c r="P26">
        <v>4.8972446007403052</v>
      </c>
      <c r="Q26">
        <v>7.4144960889692975</v>
      </c>
      <c r="R26">
        <v>3.0045606087598298</v>
      </c>
      <c r="S26">
        <v>4.5361197211266981</v>
      </c>
      <c r="T26" s="8">
        <v>4.7560218240483998</v>
      </c>
      <c r="U26" s="8">
        <v>5.0756855188052743</v>
      </c>
      <c r="V26" s="8">
        <v>5.4555359738912079</v>
      </c>
    </row>
    <row r="27" spans="1:22" x14ac:dyDescent="0.3">
      <c r="A27" t="s">
        <v>295</v>
      </c>
      <c r="B27">
        <f>IF(AND(B26&gt;=4.756,B26&lt;5.076),1,0)</f>
        <v>0</v>
      </c>
      <c r="C27">
        <f t="shared" ref="C27:S27" si="18">IF(AND(C26&gt;=4.756,C26&lt;5.076),1,0)</f>
        <v>1</v>
      </c>
      <c r="D27">
        <f t="shared" si="18"/>
        <v>0</v>
      </c>
      <c r="E27">
        <f t="shared" si="18"/>
        <v>0</v>
      </c>
      <c r="F27">
        <f t="shared" si="18"/>
        <v>1</v>
      </c>
      <c r="G27">
        <f t="shared" si="18"/>
        <v>0</v>
      </c>
      <c r="H27">
        <f t="shared" si="18"/>
        <v>1</v>
      </c>
      <c r="I27">
        <f t="shared" si="18"/>
        <v>0</v>
      </c>
      <c r="J27">
        <f t="shared" si="18"/>
        <v>0</v>
      </c>
      <c r="K27">
        <f t="shared" si="18"/>
        <v>0</v>
      </c>
      <c r="L27">
        <f t="shared" si="18"/>
        <v>0</v>
      </c>
      <c r="M27">
        <f t="shared" si="18"/>
        <v>0</v>
      </c>
      <c r="N27">
        <f t="shared" si="18"/>
        <v>0</v>
      </c>
      <c r="O27">
        <f t="shared" si="18"/>
        <v>0</v>
      </c>
      <c r="P27">
        <f t="shared" si="18"/>
        <v>1</v>
      </c>
      <c r="Q27">
        <f t="shared" si="18"/>
        <v>0</v>
      </c>
      <c r="R27">
        <f t="shared" si="18"/>
        <v>0</v>
      </c>
      <c r="S27">
        <f t="shared" si="18"/>
        <v>0</v>
      </c>
    </row>
    <row r="28" spans="1:22" x14ac:dyDescent="0.3">
      <c r="A28" t="s">
        <v>296</v>
      </c>
      <c r="B28">
        <f>IF(AND(B26&gt;=5.076, B26&lt;5.456),1,0)</f>
        <v>1</v>
      </c>
      <c r="C28">
        <f t="shared" ref="C28:S28" si="19">IF(AND(C26&gt;=5.076, C26&lt;5.456),1,0)</f>
        <v>0</v>
      </c>
      <c r="D28">
        <f t="shared" si="19"/>
        <v>0</v>
      </c>
      <c r="E28">
        <f t="shared" si="19"/>
        <v>0</v>
      </c>
      <c r="F28">
        <f t="shared" si="19"/>
        <v>0</v>
      </c>
      <c r="G28">
        <f t="shared" si="19"/>
        <v>0</v>
      </c>
      <c r="H28">
        <f t="shared" si="19"/>
        <v>0</v>
      </c>
      <c r="I28">
        <f t="shared" si="19"/>
        <v>1</v>
      </c>
      <c r="J28">
        <f t="shared" si="19"/>
        <v>0</v>
      </c>
      <c r="K28">
        <f t="shared" si="19"/>
        <v>0</v>
      </c>
      <c r="L28">
        <f t="shared" si="19"/>
        <v>1</v>
      </c>
      <c r="M28">
        <f t="shared" si="19"/>
        <v>0</v>
      </c>
      <c r="N28">
        <f t="shared" si="19"/>
        <v>1</v>
      </c>
      <c r="O28">
        <f t="shared" si="19"/>
        <v>0</v>
      </c>
      <c r="P28">
        <f t="shared" si="19"/>
        <v>0</v>
      </c>
      <c r="Q28">
        <f t="shared" si="19"/>
        <v>0</v>
      </c>
      <c r="R28">
        <f t="shared" si="19"/>
        <v>0</v>
      </c>
      <c r="S28">
        <f t="shared" si="19"/>
        <v>0</v>
      </c>
    </row>
    <row r="29" spans="1:22" x14ac:dyDescent="0.3">
      <c r="A29" t="s">
        <v>297</v>
      </c>
      <c r="B29">
        <f>IF(B26&gt;=5.456,1,0)</f>
        <v>0</v>
      </c>
      <c r="C29">
        <f t="shared" ref="C29:S29" si="20">IF(C26&gt;=5.456,1,0)</f>
        <v>0</v>
      </c>
      <c r="D29">
        <f t="shared" si="20"/>
        <v>1</v>
      </c>
      <c r="E29">
        <f t="shared" si="20"/>
        <v>0</v>
      </c>
      <c r="F29">
        <f t="shared" si="20"/>
        <v>0</v>
      </c>
      <c r="G29">
        <f t="shared" si="20"/>
        <v>0</v>
      </c>
      <c r="H29">
        <f t="shared" si="20"/>
        <v>0</v>
      </c>
      <c r="I29">
        <f t="shared" si="20"/>
        <v>0</v>
      </c>
      <c r="J29">
        <f t="shared" si="20"/>
        <v>1</v>
      </c>
      <c r="K29">
        <f t="shared" si="20"/>
        <v>0</v>
      </c>
      <c r="L29">
        <f t="shared" si="20"/>
        <v>0</v>
      </c>
      <c r="M29">
        <f t="shared" si="20"/>
        <v>1</v>
      </c>
      <c r="N29">
        <f t="shared" si="20"/>
        <v>0</v>
      </c>
      <c r="O29">
        <f t="shared" si="20"/>
        <v>1</v>
      </c>
      <c r="P29">
        <f t="shared" si="20"/>
        <v>0</v>
      </c>
      <c r="Q29">
        <f t="shared" si="20"/>
        <v>1</v>
      </c>
      <c r="R29">
        <f t="shared" si="20"/>
        <v>0</v>
      </c>
      <c r="S29">
        <f t="shared" si="20"/>
        <v>0</v>
      </c>
    </row>
    <row r="30" spans="1:22" x14ac:dyDescent="0.3">
      <c r="A30" t="s">
        <v>207</v>
      </c>
      <c r="B30">
        <v>0.17294929972931439</v>
      </c>
      <c r="C30">
        <v>0.1194229118376858</v>
      </c>
      <c r="D30">
        <v>0.16957346324048939</v>
      </c>
      <c r="E30">
        <v>0.13074249267731919</v>
      </c>
      <c r="F30">
        <v>9.1310561924908662E-2</v>
      </c>
      <c r="G30">
        <v>8.8072292752641015E-2</v>
      </c>
      <c r="H30">
        <v>0.13524040815629002</v>
      </c>
      <c r="I30">
        <v>0.1674997211441259</v>
      </c>
      <c r="J30">
        <v>0.1520034602449524</v>
      </c>
      <c r="K30">
        <v>0.10676422062582797</v>
      </c>
      <c r="L30">
        <v>0.16758508256566579</v>
      </c>
      <c r="M30">
        <v>0.126078736977638</v>
      </c>
      <c r="N30">
        <v>0.1114124360737716</v>
      </c>
      <c r="O30">
        <v>0.10362093939573498</v>
      </c>
      <c r="P30">
        <v>0.2473069107222321</v>
      </c>
      <c r="Q30">
        <v>8.6397263986989585E-4</v>
      </c>
      <c r="R30">
        <v>1.4764039383672888E-2</v>
      </c>
      <c r="S30">
        <v>0.12569923067270489</v>
      </c>
      <c r="T30" s="8">
        <v>0.10440675970325823</v>
      </c>
      <c r="U30" s="8">
        <v>0.12588898382517144</v>
      </c>
      <c r="V30" s="8">
        <v>0.16362565591933254</v>
      </c>
    </row>
    <row r="31" spans="1:22" x14ac:dyDescent="0.3">
      <c r="A31" t="s">
        <v>298</v>
      </c>
      <c r="B31">
        <f>IF(AND(B30&gt;=0.1044,B30&lt;0.1259),1,0)</f>
        <v>0</v>
      </c>
      <c r="C31">
        <f t="shared" ref="C31:S31" si="21">IF(AND(C30&gt;=0.1044,C30&lt;0.1259),1,0)</f>
        <v>1</v>
      </c>
      <c r="D31">
        <f t="shared" si="21"/>
        <v>0</v>
      </c>
      <c r="E31">
        <f t="shared" si="21"/>
        <v>0</v>
      </c>
      <c r="F31">
        <f t="shared" si="21"/>
        <v>0</v>
      </c>
      <c r="G31">
        <f t="shared" si="21"/>
        <v>0</v>
      </c>
      <c r="H31">
        <f t="shared" si="21"/>
        <v>0</v>
      </c>
      <c r="I31">
        <f t="shared" si="21"/>
        <v>0</v>
      </c>
      <c r="J31">
        <f t="shared" si="21"/>
        <v>0</v>
      </c>
      <c r="K31">
        <f t="shared" si="21"/>
        <v>1</v>
      </c>
      <c r="L31">
        <f t="shared" si="21"/>
        <v>0</v>
      </c>
      <c r="M31">
        <f t="shared" si="21"/>
        <v>0</v>
      </c>
      <c r="N31">
        <f t="shared" si="21"/>
        <v>1</v>
      </c>
      <c r="O31">
        <f t="shared" si="21"/>
        <v>0</v>
      </c>
      <c r="P31">
        <f t="shared" si="21"/>
        <v>0</v>
      </c>
      <c r="Q31">
        <f t="shared" si="21"/>
        <v>0</v>
      </c>
      <c r="R31">
        <f t="shared" si="21"/>
        <v>0</v>
      </c>
      <c r="S31">
        <f t="shared" si="21"/>
        <v>1</v>
      </c>
    </row>
    <row r="32" spans="1:22" x14ac:dyDescent="0.3">
      <c r="A32" t="s">
        <v>299</v>
      </c>
      <c r="B32">
        <f>IF(AND(B30&gt;=0.1259, B30&lt;0.1636),1,0)</f>
        <v>0</v>
      </c>
      <c r="C32">
        <f t="shared" ref="C32:S32" si="22">IF(AND(C30&gt;=0.1259, C30&lt;0.1636),1,0)</f>
        <v>0</v>
      </c>
      <c r="D32">
        <f t="shared" si="22"/>
        <v>0</v>
      </c>
      <c r="E32">
        <f t="shared" si="22"/>
        <v>1</v>
      </c>
      <c r="F32">
        <f t="shared" si="22"/>
        <v>0</v>
      </c>
      <c r="G32">
        <f t="shared" si="22"/>
        <v>0</v>
      </c>
      <c r="H32">
        <f t="shared" si="22"/>
        <v>1</v>
      </c>
      <c r="I32">
        <f t="shared" si="22"/>
        <v>0</v>
      </c>
      <c r="J32">
        <f t="shared" si="22"/>
        <v>1</v>
      </c>
      <c r="K32">
        <f t="shared" si="22"/>
        <v>0</v>
      </c>
      <c r="L32">
        <f t="shared" si="22"/>
        <v>0</v>
      </c>
      <c r="M32">
        <f t="shared" si="22"/>
        <v>1</v>
      </c>
      <c r="N32">
        <f t="shared" si="22"/>
        <v>0</v>
      </c>
      <c r="O32">
        <f t="shared" si="22"/>
        <v>0</v>
      </c>
      <c r="P32">
        <f t="shared" si="22"/>
        <v>0</v>
      </c>
      <c r="Q32">
        <f t="shared" si="22"/>
        <v>0</v>
      </c>
      <c r="R32">
        <f t="shared" si="22"/>
        <v>0</v>
      </c>
      <c r="S32">
        <f t="shared" si="22"/>
        <v>0</v>
      </c>
    </row>
    <row r="33" spans="1:22" x14ac:dyDescent="0.3">
      <c r="A33" t="s">
        <v>300</v>
      </c>
      <c r="B33">
        <f>IF(B30&gt;=0.1636,1,0)</f>
        <v>1</v>
      </c>
      <c r="C33">
        <f t="shared" ref="C33:S33" si="23">IF(C30&gt;=0.1636,1,0)</f>
        <v>0</v>
      </c>
      <c r="D33">
        <f t="shared" si="23"/>
        <v>1</v>
      </c>
      <c r="E33">
        <f t="shared" si="23"/>
        <v>0</v>
      </c>
      <c r="F33">
        <f t="shared" si="23"/>
        <v>0</v>
      </c>
      <c r="G33">
        <f t="shared" si="23"/>
        <v>0</v>
      </c>
      <c r="H33">
        <f t="shared" si="23"/>
        <v>0</v>
      </c>
      <c r="I33">
        <f t="shared" si="23"/>
        <v>1</v>
      </c>
      <c r="J33">
        <f t="shared" si="23"/>
        <v>0</v>
      </c>
      <c r="K33">
        <f t="shared" si="23"/>
        <v>0</v>
      </c>
      <c r="L33">
        <f t="shared" si="23"/>
        <v>1</v>
      </c>
      <c r="M33">
        <f t="shared" si="23"/>
        <v>0</v>
      </c>
      <c r="N33">
        <f t="shared" si="23"/>
        <v>0</v>
      </c>
      <c r="O33">
        <f t="shared" si="23"/>
        <v>0</v>
      </c>
      <c r="P33">
        <f t="shared" si="23"/>
        <v>1</v>
      </c>
      <c r="Q33">
        <f t="shared" si="23"/>
        <v>0</v>
      </c>
      <c r="R33">
        <f t="shared" si="23"/>
        <v>0</v>
      </c>
      <c r="S33">
        <f t="shared" si="23"/>
        <v>0</v>
      </c>
    </row>
    <row r="34" spans="1:22" x14ac:dyDescent="0.3">
      <c r="A34" t="s">
        <v>208</v>
      </c>
      <c r="B34">
        <v>3.8198677074949567</v>
      </c>
      <c r="C34">
        <v>4.0553535453226681</v>
      </c>
      <c r="D34">
        <v>3.8504529920696577</v>
      </c>
      <c r="E34">
        <v>3.9486486768826938</v>
      </c>
      <c r="F34">
        <v>4.2988944978073906</v>
      </c>
      <c r="G34">
        <v>4.611777134644476</v>
      </c>
      <c r="H34">
        <v>4.4374763403110329</v>
      </c>
      <c r="I34">
        <v>4.5554448545593536</v>
      </c>
      <c r="J34">
        <v>4.8143642777184121</v>
      </c>
      <c r="K34">
        <v>4.4000584389923709</v>
      </c>
      <c r="L34">
        <v>3.7157285829910571</v>
      </c>
      <c r="M34">
        <v>3.7204603790109552</v>
      </c>
      <c r="N34">
        <v>3.7088297140795836</v>
      </c>
      <c r="O34">
        <v>3.7176029081041513</v>
      </c>
      <c r="P34">
        <v>3.3419259807047874</v>
      </c>
      <c r="Q34">
        <v>3.21253569536524</v>
      </c>
      <c r="R34">
        <v>2.9289116152859127</v>
      </c>
      <c r="S34">
        <v>2.8894790483929369</v>
      </c>
      <c r="T34" s="8">
        <v>3.7105544313074521</v>
      </c>
      <c r="U34" s="8">
        <v>3.8351603497823072</v>
      </c>
      <c r="V34" s="8">
        <v>4.3747674536961263</v>
      </c>
    </row>
    <row r="35" spans="1:22" x14ac:dyDescent="0.3">
      <c r="A35" t="s">
        <v>301</v>
      </c>
      <c r="B35">
        <f>IF(AND(B34&gt;=3.7106,B34&lt;3.8351),1,0)</f>
        <v>1</v>
      </c>
      <c r="C35">
        <f t="shared" ref="C35:S35" si="24">IF(AND(C34&gt;=3.7106,C34&lt;3.8351),1,0)</f>
        <v>0</v>
      </c>
      <c r="D35">
        <f t="shared" si="24"/>
        <v>0</v>
      </c>
      <c r="E35">
        <f t="shared" si="24"/>
        <v>0</v>
      </c>
      <c r="F35">
        <f t="shared" si="24"/>
        <v>0</v>
      </c>
      <c r="G35">
        <f t="shared" si="24"/>
        <v>0</v>
      </c>
      <c r="H35">
        <f t="shared" si="24"/>
        <v>0</v>
      </c>
      <c r="I35">
        <f t="shared" si="24"/>
        <v>0</v>
      </c>
      <c r="J35">
        <f t="shared" si="24"/>
        <v>0</v>
      </c>
      <c r="K35">
        <f t="shared" si="24"/>
        <v>0</v>
      </c>
      <c r="L35">
        <f t="shared" si="24"/>
        <v>1</v>
      </c>
      <c r="M35">
        <f t="shared" si="24"/>
        <v>1</v>
      </c>
      <c r="N35">
        <f t="shared" si="24"/>
        <v>0</v>
      </c>
      <c r="O35">
        <f t="shared" si="24"/>
        <v>1</v>
      </c>
      <c r="P35">
        <f t="shared" si="24"/>
        <v>0</v>
      </c>
      <c r="Q35">
        <f t="shared" si="24"/>
        <v>0</v>
      </c>
      <c r="R35">
        <f t="shared" si="24"/>
        <v>0</v>
      </c>
      <c r="S35">
        <f t="shared" si="24"/>
        <v>0</v>
      </c>
    </row>
    <row r="36" spans="1:22" x14ac:dyDescent="0.3">
      <c r="A36" t="s">
        <v>302</v>
      </c>
      <c r="B36">
        <f>IF(AND(B34&gt;=3.8351, B34&lt;4.3748),1,0)</f>
        <v>0</v>
      </c>
      <c r="C36">
        <f t="shared" ref="C36:S36" si="25">IF(AND(C34&gt;=3.8351, C34&lt;4.3748),1,0)</f>
        <v>1</v>
      </c>
      <c r="D36">
        <f t="shared" si="25"/>
        <v>1</v>
      </c>
      <c r="E36">
        <f t="shared" si="25"/>
        <v>1</v>
      </c>
      <c r="F36">
        <f t="shared" si="25"/>
        <v>1</v>
      </c>
      <c r="G36">
        <f t="shared" si="25"/>
        <v>0</v>
      </c>
      <c r="H36">
        <f t="shared" si="25"/>
        <v>0</v>
      </c>
      <c r="I36">
        <f t="shared" si="25"/>
        <v>0</v>
      </c>
      <c r="J36">
        <f t="shared" si="25"/>
        <v>0</v>
      </c>
      <c r="K36">
        <f t="shared" si="25"/>
        <v>0</v>
      </c>
      <c r="L36">
        <f t="shared" si="25"/>
        <v>0</v>
      </c>
      <c r="M36">
        <f t="shared" si="25"/>
        <v>0</v>
      </c>
      <c r="N36">
        <f t="shared" si="25"/>
        <v>0</v>
      </c>
      <c r="O36">
        <f t="shared" si="25"/>
        <v>0</v>
      </c>
      <c r="P36">
        <f t="shared" si="25"/>
        <v>0</v>
      </c>
      <c r="Q36">
        <f t="shared" si="25"/>
        <v>0</v>
      </c>
      <c r="R36">
        <f t="shared" si="25"/>
        <v>0</v>
      </c>
      <c r="S36">
        <f t="shared" si="25"/>
        <v>0</v>
      </c>
    </row>
    <row r="37" spans="1:22" x14ac:dyDescent="0.3">
      <c r="A37" t="s">
        <v>303</v>
      </c>
      <c r="B37">
        <f>IF(B34&gt;=4.3748,1,0)</f>
        <v>0</v>
      </c>
      <c r="C37">
        <f t="shared" ref="C37:S37" si="26">IF(C34&gt;=4.3748,1,0)</f>
        <v>0</v>
      </c>
      <c r="D37">
        <f t="shared" si="26"/>
        <v>0</v>
      </c>
      <c r="E37">
        <f t="shared" si="26"/>
        <v>0</v>
      </c>
      <c r="F37">
        <f t="shared" si="26"/>
        <v>0</v>
      </c>
      <c r="G37">
        <f t="shared" si="26"/>
        <v>1</v>
      </c>
      <c r="H37">
        <f t="shared" si="26"/>
        <v>1</v>
      </c>
      <c r="I37">
        <f t="shared" si="26"/>
        <v>1</v>
      </c>
      <c r="J37">
        <f t="shared" si="26"/>
        <v>1</v>
      </c>
      <c r="K37">
        <f t="shared" si="26"/>
        <v>1</v>
      </c>
      <c r="L37">
        <f t="shared" si="26"/>
        <v>0</v>
      </c>
      <c r="M37">
        <f t="shared" si="26"/>
        <v>0</v>
      </c>
      <c r="N37">
        <f t="shared" si="26"/>
        <v>0</v>
      </c>
      <c r="O37">
        <f t="shared" si="26"/>
        <v>0</v>
      </c>
      <c r="P37">
        <f t="shared" si="26"/>
        <v>0</v>
      </c>
      <c r="Q37">
        <f t="shared" si="26"/>
        <v>0</v>
      </c>
      <c r="R37">
        <f t="shared" si="26"/>
        <v>0</v>
      </c>
      <c r="S37">
        <f t="shared" si="26"/>
        <v>0</v>
      </c>
    </row>
    <row r="38" spans="1:22" x14ac:dyDescent="0.3">
      <c r="A38" t="s">
        <v>209</v>
      </c>
      <c r="B38">
        <v>9.459311786893009</v>
      </c>
      <c r="C38">
        <v>9.1631633697350523</v>
      </c>
      <c r="D38">
        <v>10.572735303210989</v>
      </c>
      <c r="E38">
        <v>8.4631595693988686</v>
      </c>
      <c r="F38">
        <v>9.3352350225998624</v>
      </c>
      <c r="G38">
        <v>9.0000766142238096</v>
      </c>
      <c r="H38">
        <v>9.7659444547899401</v>
      </c>
      <c r="I38">
        <v>7.8026466693796994</v>
      </c>
      <c r="J38">
        <v>8.3019548513427583</v>
      </c>
      <c r="K38">
        <v>8.6662490019040597</v>
      </c>
      <c r="L38">
        <v>8.5635145492420772</v>
      </c>
      <c r="M38">
        <v>7.6490225662555762</v>
      </c>
      <c r="N38">
        <v>6.3254915417953512</v>
      </c>
      <c r="O38">
        <v>6.6281359512375833</v>
      </c>
      <c r="P38">
        <v>6.4693657441707444</v>
      </c>
      <c r="Q38">
        <v>5.8337544266726402</v>
      </c>
      <c r="R38">
        <v>3.6270191634912083</v>
      </c>
      <c r="S38">
        <v>8.5873298645127232</v>
      </c>
      <c r="T38" s="8">
        <v>6.8833576049920815</v>
      </c>
      <c r="U38" s="8">
        <v>8.5133370593204738</v>
      </c>
      <c r="V38" s="8">
        <v>9.1223916808572412</v>
      </c>
    </row>
    <row r="39" spans="1:22" x14ac:dyDescent="0.3">
      <c r="A39" t="s">
        <v>304</v>
      </c>
      <c r="B39">
        <f>IF(AND(B38&gt;=6.883,B38&lt;8.3513),1,0)</f>
        <v>0</v>
      </c>
      <c r="C39">
        <f t="shared" ref="C39:S39" si="27">IF(AND(C38&gt;=6.883,C38&lt;8.3513),1,0)</f>
        <v>0</v>
      </c>
      <c r="D39">
        <f t="shared" si="27"/>
        <v>0</v>
      </c>
      <c r="E39">
        <f t="shared" si="27"/>
        <v>0</v>
      </c>
      <c r="F39">
        <f t="shared" si="27"/>
        <v>0</v>
      </c>
      <c r="G39">
        <f t="shared" si="27"/>
        <v>0</v>
      </c>
      <c r="H39">
        <f t="shared" si="27"/>
        <v>0</v>
      </c>
      <c r="I39">
        <f t="shared" si="27"/>
        <v>1</v>
      </c>
      <c r="J39">
        <f t="shared" si="27"/>
        <v>1</v>
      </c>
      <c r="K39">
        <f t="shared" si="27"/>
        <v>0</v>
      </c>
      <c r="L39">
        <f t="shared" si="27"/>
        <v>0</v>
      </c>
      <c r="M39">
        <f t="shared" si="27"/>
        <v>1</v>
      </c>
      <c r="N39">
        <f t="shared" si="27"/>
        <v>0</v>
      </c>
      <c r="O39">
        <f t="shared" si="27"/>
        <v>0</v>
      </c>
      <c r="P39">
        <f t="shared" si="27"/>
        <v>0</v>
      </c>
      <c r="Q39">
        <f t="shared" si="27"/>
        <v>0</v>
      </c>
      <c r="R39">
        <f t="shared" si="27"/>
        <v>0</v>
      </c>
      <c r="S39">
        <f t="shared" si="27"/>
        <v>0</v>
      </c>
    </row>
    <row r="40" spans="1:22" x14ac:dyDescent="0.3">
      <c r="A40" t="s">
        <v>305</v>
      </c>
      <c r="B40">
        <f>IF(AND(B38&gt;=8.513, B38&lt;9.123),1,0)</f>
        <v>0</v>
      </c>
      <c r="C40">
        <f t="shared" ref="C40:S40" si="28">IF(AND(C38&gt;=8.513, C38&lt;9.123),1,0)</f>
        <v>0</v>
      </c>
      <c r="D40">
        <f t="shared" si="28"/>
        <v>0</v>
      </c>
      <c r="E40">
        <f t="shared" si="28"/>
        <v>0</v>
      </c>
      <c r="F40">
        <f t="shared" si="28"/>
        <v>0</v>
      </c>
      <c r="G40">
        <f t="shared" si="28"/>
        <v>1</v>
      </c>
      <c r="H40">
        <f t="shared" si="28"/>
        <v>0</v>
      </c>
      <c r="I40">
        <f t="shared" si="28"/>
        <v>0</v>
      </c>
      <c r="J40">
        <f t="shared" si="28"/>
        <v>0</v>
      </c>
      <c r="K40">
        <f t="shared" si="28"/>
        <v>1</v>
      </c>
      <c r="L40">
        <f t="shared" si="28"/>
        <v>1</v>
      </c>
      <c r="M40">
        <f t="shared" si="28"/>
        <v>0</v>
      </c>
      <c r="N40">
        <f t="shared" si="28"/>
        <v>0</v>
      </c>
      <c r="O40">
        <f t="shared" si="28"/>
        <v>0</v>
      </c>
      <c r="P40">
        <f t="shared" si="28"/>
        <v>0</v>
      </c>
      <c r="Q40">
        <f t="shared" si="28"/>
        <v>0</v>
      </c>
      <c r="R40">
        <f t="shared" si="28"/>
        <v>0</v>
      </c>
      <c r="S40">
        <f t="shared" si="28"/>
        <v>1</v>
      </c>
    </row>
    <row r="41" spans="1:22" x14ac:dyDescent="0.3">
      <c r="A41" t="s">
        <v>306</v>
      </c>
      <c r="B41">
        <f>IF(B38&gt;=9.123,1,0)</f>
        <v>1</v>
      </c>
      <c r="C41">
        <f t="shared" ref="C41:S41" si="29">IF(C38&gt;=9.123,1,0)</f>
        <v>1</v>
      </c>
      <c r="D41">
        <f t="shared" si="29"/>
        <v>1</v>
      </c>
      <c r="E41">
        <f t="shared" si="29"/>
        <v>0</v>
      </c>
      <c r="F41">
        <f t="shared" si="29"/>
        <v>1</v>
      </c>
      <c r="G41">
        <f t="shared" si="29"/>
        <v>0</v>
      </c>
      <c r="H41">
        <f t="shared" si="29"/>
        <v>1</v>
      </c>
      <c r="I41">
        <f t="shared" si="29"/>
        <v>0</v>
      </c>
      <c r="J41">
        <f t="shared" si="29"/>
        <v>0</v>
      </c>
      <c r="K41">
        <f t="shared" si="29"/>
        <v>0</v>
      </c>
      <c r="L41">
        <f t="shared" si="29"/>
        <v>0</v>
      </c>
      <c r="M41">
        <f t="shared" si="29"/>
        <v>0</v>
      </c>
      <c r="N41">
        <f t="shared" si="29"/>
        <v>0</v>
      </c>
      <c r="O41">
        <f t="shared" si="29"/>
        <v>0</v>
      </c>
      <c r="P41">
        <f t="shared" si="29"/>
        <v>0</v>
      </c>
      <c r="Q41">
        <f t="shared" si="29"/>
        <v>0</v>
      </c>
      <c r="R41">
        <f t="shared" si="29"/>
        <v>0</v>
      </c>
      <c r="S41">
        <f t="shared" si="29"/>
        <v>0</v>
      </c>
    </row>
    <row r="42" spans="1:22" x14ac:dyDescent="0.3">
      <c r="A42" t="s">
        <v>210</v>
      </c>
      <c r="B42">
        <v>-27.956667439687429</v>
      </c>
      <c r="C42">
        <v>-10.602428342887523</v>
      </c>
      <c r="D42">
        <v>4.3563534723991255</v>
      </c>
      <c r="E42">
        <v>-70.482447118544442</v>
      </c>
      <c r="F42">
        <v>-97.426911045638946</v>
      </c>
      <c r="G42">
        <v>-159.25499923303374</v>
      </c>
      <c r="H42">
        <v>-142.84729113623791</v>
      </c>
      <c r="I42">
        <v>-205.01417664400034</v>
      </c>
      <c r="J42">
        <v>-152.09986098673525</v>
      </c>
      <c r="K42">
        <v>-89.531286292154036</v>
      </c>
      <c r="L42">
        <v>-79.442945750906645</v>
      </c>
      <c r="M42">
        <v>-82.633729627527217</v>
      </c>
      <c r="N42">
        <v>-69.071511851933593</v>
      </c>
      <c r="O42">
        <v>-71.278922331836455</v>
      </c>
      <c r="P42">
        <v>-38.782740784176539</v>
      </c>
      <c r="Q42">
        <v>-40.560276077059363</v>
      </c>
      <c r="R42">
        <v>26.424102688335076</v>
      </c>
      <c r="S42">
        <v>-0.42753096394736939</v>
      </c>
      <c r="T42" s="8">
        <v>-95.453004857267715</v>
      </c>
      <c r="U42" s="8">
        <v>-70.880684725190449</v>
      </c>
      <c r="V42" s="8">
        <v>-30.663185775809708</v>
      </c>
    </row>
    <row r="43" spans="1:22" x14ac:dyDescent="0.3">
      <c r="A43" t="s">
        <v>307</v>
      </c>
      <c r="B43">
        <f>IF(AND(B42&gt;=-95.45,B42&lt;-70.88),1,0)</f>
        <v>0</v>
      </c>
      <c r="C43">
        <f t="shared" ref="C43:S43" si="30">IF(AND(C42&gt;=-95.45,C42&lt;-70.88),1,0)</f>
        <v>0</v>
      </c>
      <c r="D43">
        <f t="shared" si="30"/>
        <v>0</v>
      </c>
      <c r="E43">
        <f t="shared" si="30"/>
        <v>0</v>
      </c>
      <c r="F43">
        <f t="shared" si="30"/>
        <v>0</v>
      </c>
      <c r="G43">
        <f t="shared" si="30"/>
        <v>0</v>
      </c>
      <c r="H43">
        <f t="shared" si="30"/>
        <v>0</v>
      </c>
      <c r="I43">
        <f t="shared" si="30"/>
        <v>0</v>
      </c>
      <c r="J43">
        <f t="shared" si="30"/>
        <v>0</v>
      </c>
      <c r="K43">
        <f t="shared" si="30"/>
        <v>1</v>
      </c>
      <c r="L43">
        <f t="shared" si="30"/>
        <v>1</v>
      </c>
      <c r="M43">
        <f t="shared" si="30"/>
        <v>1</v>
      </c>
      <c r="N43">
        <f t="shared" si="30"/>
        <v>0</v>
      </c>
      <c r="O43">
        <f t="shared" si="30"/>
        <v>1</v>
      </c>
      <c r="P43">
        <f t="shared" si="30"/>
        <v>0</v>
      </c>
      <c r="Q43">
        <f t="shared" si="30"/>
        <v>0</v>
      </c>
      <c r="R43">
        <f t="shared" si="30"/>
        <v>0</v>
      </c>
      <c r="S43">
        <f t="shared" si="30"/>
        <v>0</v>
      </c>
    </row>
    <row r="44" spans="1:22" x14ac:dyDescent="0.3">
      <c r="A44" t="s">
        <v>308</v>
      </c>
      <c r="B44">
        <f>IF(AND(B42&gt;=-70.88, B42&lt;-30.66),1,0)</f>
        <v>0</v>
      </c>
      <c r="C44">
        <f t="shared" ref="C44:S44" si="31">IF(AND(C42&gt;=-70.88, C42&lt;-30.66),1,0)</f>
        <v>0</v>
      </c>
      <c r="D44">
        <f t="shared" si="31"/>
        <v>0</v>
      </c>
      <c r="E44">
        <f t="shared" si="31"/>
        <v>1</v>
      </c>
      <c r="F44">
        <f t="shared" si="31"/>
        <v>0</v>
      </c>
      <c r="G44">
        <f t="shared" si="31"/>
        <v>0</v>
      </c>
      <c r="H44">
        <f t="shared" si="31"/>
        <v>0</v>
      </c>
      <c r="I44">
        <f t="shared" si="31"/>
        <v>0</v>
      </c>
      <c r="J44">
        <f t="shared" si="31"/>
        <v>0</v>
      </c>
      <c r="K44">
        <f t="shared" si="31"/>
        <v>0</v>
      </c>
      <c r="L44">
        <f t="shared" si="31"/>
        <v>0</v>
      </c>
      <c r="M44">
        <f t="shared" si="31"/>
        <v>0</v>
      </c>
      <c r="N44">
        <f t="shared" si="31"/>
        <v>1</v>
      </c>
      <c r="O44">
        <f t="shared" si="31"/>
        <v>0</v>
      </c>
      <c r="P44">
        <f t="shared" si="31"/>
        <v>1</v>
      </c>
      <c r="Q44">
        <f t="shared" si="31"/>
        <v>1</v>
      </c>
      <c r="R44">
        <f t="shared" si="31"/>
        <v>0</v>
      </c>
      <c r="S44">
        <f t="shared" si="31"/>
        <v>0</v>
      </c>
    </row>
    <row r="45" spans="1:22" x14ac:dyDescent="0.3">
      <c r="A45" t="s">
        <v>309</v>
      </c>
      <c r="B45">
        <f>IF(B42&gt;=-30.66,1,0)</f>
        <v>1</v>
      </c>
      <c r="C45">
        <f t="shared" ref="C45:S45" si="32">IF(C42&gt;=-30.66,1,0)</f>
        <v>1</v>
      </c>
      <c r="D45">
        <f t="shared" si="32"/>
        <v>1</v>
      </c>
      <c r="E45">
        <f t="shared" si="32"/>
        <v>0</v>
      </c>
      <c r="F45">
        <f t="shared" si="32"/>
        <v>0</v>
      </c>
      <c r="G45">
        <f t="shared" si="32"/>
        <v>0</v>
      </c>
      <c r="H45">
        <f t="shared" si="32"/>
        <v>0</v>
      </c>
      <c r="I45">
        <f t="shared" si="32"/>
        <v>0</v>
      </c>
      <c r="J45">
        <f t="shared" si="32"/>
        <v>0</v>
      </c>
      <c r="K45">
        <f t="shared" si="32"/>
        <v>0</v>
      </c>
      <c r="L45">
        <f t="shared" si="32"/>
        <v>0</v>
      </c>
      <c r="M45">
        <f t="shared" si="32"/>
        <v>0</v>
      </c>
      <c r="N45">
        <f t="shared" si="32"/>
        <v>0</v>
      </c>
      <c r="O45">
        <f t="shared" si="32"/>
        <v>0</v>
      </c>
      <c r="P45">
        <f t="shared" si="32"/>
        <v>0</v>
      </c>
      <c r="Q45">
        <f t="shared" si="32"/>
        <v>0</v>
      </c>
      <c r="R45">
        <f t="shared" si="32"/>
        <v>1</v>
      </c>
      <c r="S45">
        <f t="shared" si="32"/>
        <v>1</v>
      </c>
    </row>
    <row r="46" spans="1:22" x14ac:dyDescent="0.3">
      <c r="A46" t="s">
        <v>211</v>
      </c>
      <c r="B46">
        <v>-1.1531191127101719</v>
      </c>
      <c r="C46">
        <v>-3.0550215318363581</v>
      </c>
      <c r="D46">
        <v>6.5688479817638328</v>
      </c>
      <c r="E46">
        <v>-0.50932197323479889</v>
      </c>
      <c r="F46">
        <v>-0.37113605665702093</v>
      </c>
      <c r="G46">
        <v>-0.24495141849716162</v>
      </c>
      <c r="H46">
        <v>-0.30715212241345002</v>
      </c>
      <c r="I46">
        <v>-0.24897687352542466</v>
      </c>
      <c r="J46">
        <v>-0.28228828143211704</v>
      </c>
      <c r="K46">
        <v>-0.36002840743454312</v>
      </c>
      <c r="L46">
        <v>-0.39476710845676521</v>
      </c>
      <c r="M46">
        <v>-0.41622468297695853</v>
      </c>
      <c r="N46">
        <v>-0.52657465495608535</v>
      </c>
      <c r="O46">
        <v>-0.47364158666721157</v>
      </c>
      <c r="P46">
        <v>-0.9403839397444349</v>
      </c>
      <c r="Q46">
        <v>-1.06303040822134</v>
      </c>
      <c r="R46">
        <v>2.0104132540833994</v>
      </c>
      <c r="S46">
        <v>-107.86929867582148</v>
      </c>
      <c r="T46" s="8">
        <v>-0.83693161854734754</v>
      </c>
      <c r="U46" s="8">
        <v>-0.40549589571686184</v>
      </c>
      <c r="V46" s="8">
        <v>-0.28850424167745026</v>
      </c>
    </row>
    <row r="47" spans="1:22" x14ac:dyDescent="0.3">
      <c r="A47" t="s">
        <v>310</v>
      </c>
      <c r="B47">
        <f>IF(AND(B46&gt;=-0.8369,B46&lt;-0.4055),1,0)</f>
        <v>0</v>
      </c>
      <c r="C47">
        <f t="shared" ref="C47:S47" si="33">IF(AND(C46&gt;=-0.8369,C46&lt;-0.4055),1,0)</f>
        <v>0</v>
      </c>
      <c r="D47">
        <f t="shared" si="33"/>
        <v>0</v>
      </c>
      <c r="E47">
        <f t="shared" si="33"/>
        <v>1</v>
      </c>
      <c r="F47">
        <f t="shared" si="33"/>
        <v>0</v>
      </c>
      <c r="G47">
        <f t="shared" si="33"/>
        <v>0</v>
      </c>
      <c r="H47">
        <f t="shared" si="33"/>
        <v>0</v>
      </c>
      <c r="I47">
        <f t="shared" si="33"/>
        <v>0</v>
      </c>
      <c r="J47">
        <f t="shared" si="33"/>
        <v>0</v>
      </c>
      <c r="K47">
        <f t="shared" si="33"/>
        <v>0</v>
      </c>
      <c r="L47">
        <f t="shared" si="33"/>
        <v>0</v>
      </c>
      <c r="M47">
        <f t="shared" si="33"/>
        <v>1</v>
      </c>
      <c r="N47">
        <f t="shared" si="33"/>
        <v>1</v>
      </c>
      <c r="O47">
        <f t="shared" si="33"/>
        <v>1</v>
      </c>
      <c r="P47">
        <f t="shared" si="33"/>
        <v>0</v>
      </c>
      <c r="Q47">
        <f t="shared" si="33"/>
        <v>0</v>
      </c>
      <c r="R47">
        <f t="shared" si="33"/>
        <v>0</v>
      </c>
      <c r="S47">
        <f t="shared" si="33"/>
        <v>0</v>
      </c>
    </row>
    <row r="48" spans="1:22" x14ac:dyDescent="0.3">
      <c r="A48" t="s">
        <v>311</v>
      </c>
      <c r="B48">
        <f>IF(AND(B46&gt;=-0.4055, B46&lt;-0.2885),1,0)</f>
        <v>0</v>
      </c>
      <c r="C48">
        <f t="shared" ref="C48:S48" si="34">IF(AND(C46&gt;=-0.4055, C46&lt;-0.2885),1,0)</f>
        <v>0</v>
      </c>
      <c r="D48">
        <f t="shared" si="34"/>
        <v>0</v>
      </c>
      <c r="E48">
        <f t="shared" si="34"/>
        <v>0</v>
      </c>
      <c r="F48">
        <f t="shared" si="34"/>
        <v>1</v>
      </c>
      <c r="G48">
        <f t="shared" si="34"/>
        <v>0</v>
      </c>
      <c r="H48">
        <f t="shared" si="34"/>
        <v>1</v>
      </c>
      <c r="I48">
        <f t="shared" si="34"/>
        <v>0</v>
      </c>
      <c r="J48">
        <f t="shared" si="34"/>
        <v>0</v>
      </c>
      <c r="K48">
        <f t="shared" si="34"/>
        <v>1</v>
      </c>
      <c r="L48">
        <f t="shared" si="34"/>
        <v>1</v>
      </c>
      <c r="M48">
        <f t="shared" si="34"/>
        <v>0</v>
      </c>
      <c r="N48">
        <f t="shared" si="34"/>
        <v>0</v>
      </c>
      <c r="O48">
        <f t="shared" si="34"/>
        <v>0</v>
      </c>
      <c r="P48">
        <f t="shared" si="34"/>
        <v>0</v>
      </c>
      <c r="Q48">
        <f t="shared" si="34"/>
        <v>0</v>
      </c>
      <c r="R48">
        <f t="shared" si="34"/>
        <v>0</v>
      </c>
      <c r="S48">
        <f t="shared" si="34"/>
        <v>0</v>
      </c>
    </row>
    <row r="49" spans="1:22" x14ac:dyDescent="0.3">
      <c r="A49" t="s">
        <v>312</v>
      </c>
      <c r="B49">
        <f>IF(B46&gt;=-0.2885,1,0)</f>
        <v>0</v>
      </c>
      <c r="C49">
        <f t="shared" ref="C49:S49" si="35">IF(C46&gt;=-0.2885,1,0)</f>
        <v>0</v>
      </c>
      <c r="D49">
        <f t="shared" si="35"/>
        <v>1</v>
      </c>
      <c r="E49">
        <f t="shared" si="35"/>
        <v>0</v>
      </c>
      <c r="F49">
        <f t="shared" si="35"/>
        <v>0</v>
      </c>
      <c r="G49">
        <f t="shared" si="35"/>
        <v>1</v>
      </c>
      <c r="H49">
        <f t="shared" si="35"/>
        <v>0</v>
      </c>
      <c r="I49">
        <f t="shared" si="35"/>
        <v>1</v>
      </c>
      <c r="J49">
        <f t="shared" si="35"/>
        <v>1</v>
      </c>
      <c r="K49">
        <f t="shared" si="35"/>
        <v>0</v>
      </c>
      <c r="L49">
        <f t="shared" si="35"/>
        <v>0</v>
      </c>
      <c r="M49">
        <f t="shared" si="35"/>
        <v>0</v>
      </c>
      <c r="N49">
        <f t="shared" si="35"/>
        <v>0</v>
      </c>
      <c r="O49">
        <f t="shared" si="35"/>
        <v>0</v>
      </c>
      <c r="P49">
        <f t="shared" si="35"/>
        <v>0</v>
      </c>
      <c r="Q49">
        <f t="shared" si="35"/>
        <v>0</v>
      </c>
      <c r="R49">
        <f t="shared" si="35"/>
        <v>1</v>
      </c>
      <c r="S49">
        <f t="shared" si="35"/>
        <v>0</v>
      </c>
    </row>
    <row r="50" spans="1:22" x14ac:dyDescent="0.3">
      <c r="A50" t="s">
        <v>212</v>
      </c>
      <c r="B50">
        <v>101.19013688136981</v>
      </c>
      <c r="C50">
        <v>87.868385246072236</v>
      </c>
      <c r="D50">
        <v>73.403771842396424</v>
      </c>
      <c r="E50">
        <v>71.036162723843447</v>
      </c>
      <c r="F50">
        <v>85.83179880553908</v>
      </c>
      <c r="G50">
        <v>54.504189483190345</v>
      </c>
      <c r="H50">
        <v>52.605731205857069</v>
      </c>
      <c r="I50">
        <v>70.56480152941981</v>
      </c>
      <c r="J50">
        <v>89.994085349734604</v>
      </c>
      <c r="K50">
        <v>78.643154216290995</v>
      </c>
      <c r="L50">
        <v>86.225840315838965</v>
      </c>
      <c r="M50">
        <v>73.572156825239574</v>
      </c>
      <c r="N50">
        <v>109.90665283629247</v>
      </c>
      <c r="O50">
        <v>90.972470842690953</v>
      </c>
      <c r="P50">
        <v>91.605814829989569</v>
      </c>
      <c r="Q50">
        <v>122.98086235552498</v>
      </c>
      <c r="R50">
        <v>72.000253896252005</v>
      </c>
      <c r="S50">
        <v>35.326137587574117</v>
      </c>
      <c r="T50" s="8">
        <v>71.277185516945593</v>
      </c>
      <c r="U50" s="8">
        <v>82.23747651091503</v>
      </c>
      <c r="V50" s="8">
        <v>90.727874469451862</v>
      </c>
    </row>
    <row r="51" spans="1:22" x14ac:dyDescent="0.3">
      <c r="A51" t="s">
        <v>313</v>
      </c>
      <c r="B51">
        <f>IF(AND(B50&gt;=71.277,B50&lt;82.237),1,0)</f>
        <v>0</v>
      </c>
      <c r="C51">
        <f t="shared" ref="C51:S51" si="36">IF(AND(C50&gt;=71.277,C50&lt;82.237),1,0)</f>
        <v>0</v>
      </c>
      <c r="D51">
        <f t="shared" si="36"/>
        <v>1</v>
      </c>
      <c r="E51">
        <f t="shared" si="36"/>
        <v>0</v>
      </c>
      <c r="F51">
        <f t="shared" si="36"/>
        <v>0</v>
      </c>
      <c r="G51">
        <f t="shared" si="36"/>
        <v>0</v>
      </c>
      <c r="H51">
        <f t="shared" si="36"/>
        <v>0</v>
      </c>
      <c r="I51">
        <f t="shared" si="36"/>
        <v>0</v>
      </c>
      <c r="J51">
        <f t="shared" si="36"/>
        <v>0</v>
      </c>
      <c r="K51">
        <f t="shared" si="36"/>
        <v>1</v>
      </c>
      <c r="L51">
        <f t="shared" si="36"/>
        <v>0</v>
      </c>
      <c r="M51">
        <f t="shared" si="36"/>
        <v>1</v>
      </c>
      <c r="N51">
        <f t="shared" si="36"/>
        <v>0</v>
      </c>
      <c r="O51">
        <f t="shared" si="36"/>
        <v>0</v>
      </c>
      <c r="P51">
        <f t="shared" si="36"/>
        <v>0</v>
      </c>
      <c r="Q51">
        <f t="shared" si="36"/>
        <v>0</v>
      </c>
      <c r="R51">
        <f t="shared" si="36"/>
        <v>1</v>
      </c>
      <c r="S51">
        <f t="shared" si="36"/>
        <v>0</v>
      </c>
    </row>
    <row r="52" spans="1:22" x14ac:dyDescent="0.3">
      <c r="A52" t="s">
        <v>314</v>
      </c>
      <c r="B52">
        <f>IF(AND(B50&gt;=82.2374, B50&lt;90.728),1,0)</f>
        <v>0</v>
      </c>
      <c r="C52">
        <f t="shared" ref="C52:S52" si="37">IF(AND(C50&gt;=82.2374, C50&lt;90.728),1,0)</f>
        <v>1</v>
      </c>
      <c r="D52">
        <f t="shared" si="37"/>
        <v>0</v>
      </c>
      <c r="E52">
        <f t="shared" si="37"/>
        <v>0</v>
      </c>
      <c r="F52">
        <f t="shared" si="37"/>
        <v>1</v>
      </c>
      <c r="G52">
        <f t="shared" si="37"/>
        <v>0</v>
      </c>
      <c r="H52">
        <f t="shared" si="37"/>
        <v>0</v>
      </c>
      <c r="I52">
        <f t="shared" si="37"/>
        <v>0</v>
      </c>
      <c r="J52">
        <f t="shared" si="37"/>
        <v>1</v>
      </c>
      <c r="K52">
        <f t="shared" si="37"/>
        <v>0</v>
      </c>
      <c r="L52">
        <f t="shared" si="37"/>
        <v>1</v>
      </c>
      <c r="M52">
        <f t="shared" si="37"/>
        <v>0</v>
      </c>
      <c r="N52">
        <f t="shared" si="37"/>
        <v>0</v>
      </c>
      <c r="O52">
        <f t="shared" si="37"/>
        <v>0</v>
      </c>
      <c r="P52">
        <f t="shared" si="37"/>
        <v>0</v>
      </c>
      <c r="Q52">
        <f t="shared" si="37"/>
        <v>0</v>
      </c>
      <c r="R52">
        <f t="shared" si="37"/>
        <v>0</v>
      </c>
      <c r="S52">
        <f t="shared" si="37"/>
        <v>0</v>
      </c>
    </row>
    <row r="53" spans="1:22" x14ac:dyDescent="0.3">
      <c r="A53" t="s">
        <v>315</v>
      </c>
      <c r="B53">
        <f>IF(B50&gt;=90.728,1,0)</f>
        <v>1</v>
      </c>
      <c r="C53">
        <f t="shared" ref="C53:S53" si="38">IF(C50&gt;=90.728,1,0)</f>
        <v>0</v>
      </c>
      <c r="D53">
        <f t="shared" si="38"/>
        <v>0</v>
      </c>
      <c r="E53">
        <f t="shared" si="38"/>
        <v>0</v>
      </c>
      <c r="F53">
        <f t="shared" si="38"/>
        <v>0</v>
      </c>
      <c r="G53">
        <f t="shared" si="38"/>
        <v>0</v>
      </c>
      <c r="H53">
        <f t="shared" si="38"/>
        <v>0</v>
      </c>
      <c r="I53">
        <f t="shared" si="38"/>
        <v>0</v>
      </c>
      <c r="J53">
        <f t="shared" si="38"/>
        <v>0</v>
      </c>
      <c r="K53">
        <f t="shared" si="38"/>
        <v>0</v>
      </c>
      <c r="L53">
        <f t="shared" si="38"/>
        <v>0</v>
      </c>
      <c r="M53">
        <f t="shared" si="38"/>
        <v>0</v>
      </c>
      <c r="N53">
        <f t="shared" si="38"/>
        <v>1</v>
      </c>
      <c r="O53">
        <f t="shared" si="38"/>
        <v>1</v>
      </c>
      <c r="P53">
        <f t="shared" si="38"/>
        <v>1</v>
      </c>
      <c r="Q53">
        <f t="shared" si="38"/>
        <v>1</v>
      </c>
      <c r="R53">
        <f t="shared" si="38"/>
        <v>0</v>
      </c>
      <c r="S53">
        <f t="shared" si="38"/>
        <v>0</v>
      </c>
    </row>
    <row r="54" spans="1:22" x14ac:dyDescent="0.3">
      <c r="A54" t="s">
        <v>213</v>
      </c>
      <c r="B54">
        <v>7.4689930523063817</v>
      </c>
      <c r="C54">
        <v>7.2280680519018539</v>
      </c>
      <c r="D54">
        <v>6.5885361516946039</v>
      </c>
      <c r="E54">
        <v>8.1482303295071468</v>
      </c>
      <c r="F54">
        <v>7.3700705379237297</v>
      </c>
      <c r="G54">
        <v>7.9150714381435874</v>
      </c>
      <c r="H54">
        <v>7.5294564794173482</v>
      </c>
      <c r="I54">
        <v>8.9526169836327902</v>
      </c>
      <c r="J54">
        <v>8.1504348517057927</v>
      </c>
      <c r="K54">
        <v>7.2444256974468937</v>
      </c>
      <c r="L54">
        <v>6.8776279433857441</v>
      </c>
      <c r="M54">
        <v>7.2663890102109239</v>
      </c>
      <c r="N54">
        <v>8.2117426222776189</v>
      </c>
      <c r="O54">
        <v>7.2188056774249914</v>
      </c>
      <c r="P54">
        <v>6.964078358932027</v>
      </c>
      <c r="Q54">
        <v>6.3837116777680594</v>
      </c>
      <c r="R54">
        <v>8.828215575029942</v>
      </c>
      <c r="S54">
        <v>7.1260289600979334</v>
      </c>
      <c r="T54" s="8">
        <v>7.1492231394296981</v>
      </c>
      <c r="U54" s="8">
        <v>7.3182297740673263</v>
      </c>
      <c r="V54" s="8">
        <v>8.0899406066662571</v>
      </c>
    </row>
    <row r="55" spans="1:22" x14ac:dyDescent="0.3">
      <c r="A55" t="s">
        <v>316</v>
      </c>
      <c r="B55">
        <f>IF(AND(B54&gt;=7.1492,B54&lt;7.3182),1,0)</f>
        <v>0</v>
      </c>
      <c r="C55">
        <f t="shared" ref="C55:S55" si="39">IF(AND(C54&gt;=7.1492,C54&lt;7.3182),1,0)</f>
        <v>1</v>
      </c>
      <c r="D55">
        <f t="shared" si="39"/>
        <v>0</v>
      </c>
      <c r="E55">
        <f t="shared" si="39"/>
        <v>0</v>
      </c>
      <c r="F55">
        <f t="shared" si="39"/>
        <v>0</v>
      </c>
      <c r="G55">
        <f t="shared" si="39"/>
        <v>0</v>
      </c>
      <c r="H55">
        <f t="shared" si="39"/>
        <v>0</v>
      </c>
      <c r="I55">
        <f t="shared" si="39"/>
        <v>0</v>
      </c>
      <c r="J55">
        <f t="shared" si="39"/>
        <v>0</v>
      </c>
      <c r="K55">
        <f t="shared" si="39"/>
        <v>1</v>
      </c>
      <c r="L55">
        <f t="shared" si="39"/>
        <v>0</v>
      </c>
      <c r="M55">
        <f t="shared" si="39"/>
        <v>1</v>
      </c>
      <c r="N55">
        <f t="shared" si="39"/>
        <v>0</v>
      </c>
      <c r="O55">
        <f t="shared" si="39"/>
        <v>1</v>
      </c>
      <c r="P55">
        <f t="shared" si="39"/>
        <v>0</v>
      </c>
      <c r="Q55">
        <f t="shared" si="39"/>
        <v>0</v>
      </c>
      <c r="R55">
        <f t="shared" si="39"/>
        <v>0</v>
      </c>
      <c r="S55">
        <f t="shared" si="39"/>
        <v>0</v>
      </c>
    </row>
    <row r="56" spans="1:22" x14ac:dyDescent="0.3">
      <c r="A56" t="s">
        <v>317</v>
      </c>
      <c r="B56">
        <f>IF(AND(B54&gt;=7.3182, B54&lt;8.09),1,0)</f>
        <v>1</v>
      </c>
      <c r="C56">
        <f t="shared" ref="C56:S56" si="40">IF(AND(C54&gt;=7.3182, C54&lt;8.09),1,0)</f>
        <v>0</v>
      </c>
      <c r="D56">
        <f t="shared" si="40"/>
        <v>0</v>
      </c>
      <c r="E56">
        <f t="shared" si="40"/>
        <v>0</v>
      </c>
      <c r="F56">
        <f t="shared" si="40"/>
        <v>1</v>
      </c>
      <c r="G56">
        <f t="shared" si="40"/>
        <v>1</v>
      </c>
      <c r="H56">
        <f t="shared" si="40"/>
        <v>1</v>
      </c>
      <c r="I56">
        <f t="shared" si="40"/>
        <v>0</v>
      </c>
      <c r="J56">
        <f t="shared" si="40"/>
        <v>0</v>
      </c>
      <c r="K56">
        <f t="shared" si="40"/>
        <v>0</v>
      </c>
      <c r="L56">
        <f t="shared" si="40"/>
        <v>0</v>
      </c>
      <c r="M56">
        <f t="shared" si="40"/>
        <v>0</v>
      </c>
      <c r="N56">
        <f t="shared" si="40"/>
        <v>0</v>
      </c>
      <c r="O56">
        <f t="shared" si="40"/>
        <v>0</v>
      </c>
      <c r="P56">
        <f t="shared" si="40"/>
        <v>0</v>
      </c>
      <c r="Q56">
        <f t="shared" si="40"/>
        <v>0</v>
      </c>
      <c r="R56">
        <f t="shared" si="40"/>
        <v>0</v>
      </c>
      <c r="S56">
        <f t="shared" si="40"/>
        <v>0</v>
      </c>
    </row>
    <row r="57" spans="1:22" x14ac:dyDescent="0.3">
      <c r="A57" t="s">
        <v>318</v>
      </c>
      <c r="B57">
        <f>IF(B54&gt;=8.09,1,0)</f>
        <v>0</v>
      </c>
      <c r="C57">
        <f t="shared" ref="C57:S57" si="41">IF(C54&gt;=8.09,1,0)</f>
        <v>0</v>
      </c>
      <c r="D57">
        <f t="shared" si="41"/>
        <v>0</v>
      </c>
      <c r="E57">
        <f t="shared" si="41"/>
        <v>1</v>
      </c>
      <c r="F57">
        <f t="shared" si="41"/>
        <v>0</v>
      </c>
      <c r="G57">
        <f t="shared" si="41"/>
        <v>0</v>
      </c>
      <c r="H57">
        <f t="shared" si="41"/>
        <v>0</v>
      </c>
      <c r="I57">
        <f t="shared" si="41"/>
        <v>1</v>
      </c>
      <c r="J57">
        <f t="shared" si="41"/>
        <v>1</v>
      </c>
      <c r="K57">
        <f t="shared" si="41"/>
        <v>0</v>
      </c>
      <c r="L57">
        <f t="shared" si="41"/>
        <v>0</v>
      </c>
      <c r="M57">
        <f t="shared" si="41"/>
        <v>0</v>
      </c>
      <c r="N57">
        <f t="shared" si="41"/>
        <v>1</v>
      </c>
      <c r="O57">
        <f t="shared" si="41"/>
        <v>0</v>
      </c>
      <c r="P57">
        <f t="shared" si="41"/>
        <v>0</v>
      </c>
      <c r="Q57">
        <f t="shared" si="41"/>
        <v>0</v>
      </c>
      <c r="R57">
        <f t="shared" si="41"/>
        <v>1</v>
      </c>
      <c r="S57">
        <f t="shared" si="41"/>
        <v>0</v>
      </c>
    </row>
    <row r="58" spans="1:22" x14ac:dyDescent="0.3">
      <c r="A58" t="s">
        <v>214</v>
      </c>
      <c r="B58">
        <v>0.46625977926649848</v>
      </c>
      <c r="C58">
        <v>0.51126737726644667</v>
      </c>
      <c r="D58">
        <v>0.53859841333150738</v>
      </c>
      <c r="E58">
        <v>0.43694071333031204</v>
      </c>
      <c r="F58">
        <v>0.52550725268346676</v>
      </c>
      <c r="G58">
        <v>0.52038555804643682</v>
      </c>
      <c r="H58">
        <v>0.51850449796209375</v>
      </c>
      <c r="I58">
        <v>0.43768030470336594</v>
      </c>
      <c r="J58">
        <v>0.52120368117274707</v>
      </c>
      <c r="K58">
        <v>0.5537335232181968</v>
      </c>
      <c r="L58">
        <v>0.49384271322566237</v>
      </c>
      <c r="M58">
        <v>0.46376251886990755</v>
      </c>
      <c r="N58">
        <v>0.40664382255618792</v>
      </c>
      <c r="O58">
        <v>0.46735478299544764</v>
      </c>
      <c r="P58">
        <v>0.43193109027986121</v>
      </c>
      <c r="Q58">
        <v>0.44379268009977885</v>
      </c>
      <c r="R58">
        <v>0.28348057842901969</v>
      </c>
      <c r="S58">
        <v>0.35424998116161172</v>
      </c>
      <c r="T58" s="8">
        <v>0.43712561117357551</v>
      </c>
      <c r="U58" s="8">
        <v>0.46680728113097303</v>
      </c>
      <c r="V58" s="8">
        <v>0.519915293025351</v>
      </c>
    </row>
    <row r="59" spans="1:22" x14ac:dyDescent="0.3">
      <c r="A59" t="s">
        <v>319</v>
      </c>
      <c r="B59">
        <f>IF(AND(B58&gt;=0.4371,B58&lt;0.4668),1,0)</f>
        <v>1</v>
      </c>
      <c r="C59">
        <f t="shared" ref="C59:S59" si="42">IF(AND(C58&gt;=0.4371,C58&lt;0.4668),1,0)</f>
        <v>0</v>
      </c>
      <c r="D59">
        <f t="shared" si="42"/>
        <v>0</v>
      </c>
      <c r="E59">
        <f t="shared" si="42"/>
        <v>0</v>
      </c>
      <c r="F59">
        <f t="shared" si="42"/>
        <v>0</v>
      </c>
      <c r="G59">
        <f t="shared" si="42"/>
        <v>0</v>
      </c>
      <c r="H59">
        <f t="shared" si="42"/>
        <v>0</v>
      </c>
      <c r="I59">
        <f t="shared" si="42"/>
        <v>1</v>
      </c>
      <c r="J59">
        <f t="shared" si="42"/>
        <v>0</v>
      </c>
      <c r="K59">
        <f t="shared" si="42"/>
        <v>0</v>
      </c>
      <c r="L59">
        <f t="shared" si="42"/>
        <v>0</v>
      </c>
      <c r="M59">
        <f t="shared" si="42"/>
        <v>1</v>
      </c>
      <c r="N59">
        <f t="shared" si="42"/>
        <v>0</v>
      </c>
      <c r="O59">
        <f t="shared" si="42"/>
        <v>0</v>
      </c>
      <c r="P59">
        <f t="shared" si="42"/>
        <v>0</v>
      </c>
      <c r="Q59">
        <f t="shared" si="42"/>
        <v>1</v>
      </c>
      <c r="R59">
        <f t="shared" si="42"/>
        <v>0</v>
      </c>
      <c r="S59">
        <f t="shared" si="42"/>
        <v>0</v>
      </c>
    </row>
    <row r="60" spans="1:22" x14ac:dyDescent="0.3">
      <c r="A60" t="s">
        <v>320</v>
      </c>
      <c r="B60">
        <f>IF(AND(B58&gt;=0.4668, B58&lt;0.52),1,0)</f>
        <v>0</v>
      </c>
      <c r="C60">
        <f t="shared" ref="C60:S60" si="43">IF(AND(C58&gt;=0.4668, C58&lt;0.52),1,0)</f>
        <v>1</v>
      </c>
      <c r="D60">
        <f t="shared" si="43"/>
        <v>0</v>
      </c>
      <c r="E60">
        <f t="shared" si="43"/>
        <v>0</v>
      </c>
      <c r="F60">
        <f t="shared" si="43"/>
        <v>0</v>
      </c>
      <c r="G60">
        <f t="shared" si="43"/>
        <v>0</v>
      </c>
      <c r="H60">
        <f t="shared" si="43"/>
        <v>1</v>
      </c>
      <c r="I60">
        <f t="shared" si="43"/>
        <v>0</v>
      </c>
      <c r="J60">
        <f t="shared" si="43"/>
        <v>0</v>
      </c>
      <c r="K60">
        <f t="shared" si="43"/>
        <v>0</v>
      </c>
      <c r="L60">
        <f t="shared" si="43"/>
        <v>1</v>
      </c>
      <c r="M60">
        <f t="shared" si="43"/>
        <v>0</v>
      </c>
      <c r="N60">
        <f t="shared" si="43"/>
        <v>0</v>
      </c>
      <c r="O60">
        <f t="shared" si="43"/>
        <v>1</v>
      </c>
      <c r="P60">
        <f t="shared" si="43"/>
        <v>0</v>
      </c>
      <c r="Q60">
        <f t="shared" si="43"/>
        <v>0</v>
      </c>
      <c r="R60">
        <f t="shared" si="43"/>
        <v>0</v>
      </c>
      <c r="S60">
        <f t="shared" si="43"/>
        <v>0</v>
      </c>
    </row>
    <row r="61" spans="1:22" x14ac:dyDescent="0.3">
      <c r="A61" t="s">
        <v>321</v>
      </c>
      <c r="B61">
        <f>IF(B58&gt;=0.52,1,0)</f>
        <v>0</v>
      </c>
      <c r="C61">
        <f t="shared" ref="C61:S61" si="44">IF(C58&gt;=0.52,1,0)</f>
        <v>0</v>
      </c>
      <c r="D61">
        <f t="shared" si="44"/>
        <v>1</v>
      </c>
      <c r="E61">
        <f t="shared" si="44"/>
        <v>0</v>
      </c>
      <c r="F61">
        <f t="shared" si="44"/>
        <v>1</v>
      </c>
      <c r="G61">
        <f t="shared" si="44"/>
        <v>1</v>
      </c>
      <c r="H61">
        <f t="shared" si="44"/>
        <v>0</v>
      </c>
      <c r="I61">
        <f t="shared" si="44"/>
        <v>0</v>
      </c>
      <c r="J61">
        <f t="shared" si="44"/>
        <v>1</v>
      </c>
      <c r="K61">
        <f t="shared" si="44"/>
        <v>1</v>
      </c>
      <c r="L61">
        <f t="shared" si="44"/>
        <v>0</v>
      </c>
      <c r="M61">
        <f t="shared" si="44"/>
        <v>0</v>
      </c>
      <c r="N61">
        <f t="shared" si="44"/>
        <v>0</v>
      </c>
      <c r="O61">
        <f t="shared" si="44"/>
        <v>0</v>
      </c>
      <c r="P61">
        <f t="shared" si="44"/>
        <v>0</v>
      </c>
      <c r="Q61">
        <f t="shared" si="44"/>
        <v>0</v>
      </c>
      <c r="R61">
        <f t="shared" si="44"/>
        <v>0</v>
      </c>
      <c r="S61">
        <f t="shared" si="44"/>
        <v>0</v>
      </c>
    </row>
    <row r="62" spans="1:22" x14ac:dyDescent="0.3">
      <c r="A62" t="s">
        <v>215</v>
      </c>
      <c r="B62">
        <v>9.951092857549936</v>
      </c>
      <c r="C62">
        <v>9.6407273984074866</v>
      </c>
      <c r="D62">
        <v>11.33885909081579</v>
      </c>
      <c r="E62">
        <v>8.7768326038291953</v>
      </c>
      <c r="F62">
        <v>9.852710434134714</v>
      </c>
      <c r="G62">
        <v>9.5038126337444542</v>
      </c>
      <c r="H62">
        <v>10.34923904273862</v>
      </c>
      <c r="I62">
        <v>8.2667037359451978</v>
      </c>
      <c r="J62">
        <v>8.8059966942443317</v>
      </c>
      <c r="K62">
        <v>9.1715628112002179</v>
      </c>
      <c r="L62">
        <v>9.0818790337707807</v>
      </c>
      <c r="M62">
        <v>8.1105480800331087</v>
      </c>
      <c r="N62">
        <v>6.691474754672524</v>
      </c>
      <c r="O62">
        <v>6.9922978519915624</v>
      </c>
      <c r="P62">
        <v>6.8988767837838925</v>
      </c>
      <c r="Q62">
        <v>6.1317932812185685</v>
      </c>
      <c r="R62">
        <v>3.8407759863358661</v>
      </c>
      <c r="S62">
        <v>9.5073798315860536</v>
      </c>
      <c r="T62" s="8">
        <v>7.271860409001949</v>
      </c>
      <c r="U62" s="8">
        <v>8.9439378640075553</v>
      </c>
      <c r="V62" s="8">
        <v>9.6073905067021279</v>
      </c>
    </row>
    <row r="63" spans="1:22" x14ac:dyDescent="0.3">
      <c r="A63" t="s">
        <v>322</v>
      </c>
      <c r="B63">
        <f>IF(AND(B62&gt;=7.272,B62&lt;8.94),1,0)</f>
        <v>0</v>
      </c>
      <c r="C63">
        <f t="shared" ref="C63:S63" si="45">IF(AND(C62&gt;=7.272,C62&lt;8.94),1,0)</f>
        <v>0</v>
      </c>
      <c r="D63">
        <f t="shared" si="45"/>
        <v>0</v>
      </c>
      <c r="E63">
        <f t="shared" si="45"/>
        <v>1</v>
      </c>
      <c r="F63">
        <f t="shared" si="45"/>
        <v>0</v>
      </c>
      <c r="G63">
        <f t="shared" si="45"/>
        <v>0</v>
      </c>
      <c r="H63">
        <f t="shared" si="45"/>
        <v>0</v>
      </c>
      <c r="I63">
        <f t="shared" si="45"/>
        <v>1</v>
      </c>
      <c r="J63">
        <f t="shared" si="45"/>
        <v>1</v>
      </c>
      <c r="K63">
        <f t="shared" si="45"/>
        <v>0</v>
      </c>
      <c r="L63">
        <f t="shared" si="45"/>
        <v>0</v>
      </c>
      <c r="M63">
        <f t="shared" si="45"/>
        <v>1</v>
      </c>
      <c r="N63">
        <f t="shared" si="45"/>
        <v>0</v>
      </c>
      <c r="O63">
        <f t="shared" si="45"/>
        <v>0</v>
      </c>
      <c r="P63">
        <f t="shared" si="45"/>
        <v>0</v>
      </c>
      <c r="Q63">
        <f t="shared" si="45"/>
        <v>0</v>
      </c>
      <c r="R63">
        <f t="shared" si="45"/>
        <v>0</v>
      </c>
      <c r="S63">
        <f t="shared" si="45"/>
        <v>0</v>
      </c>
    </row>
    <row r="64" spans="1:22" x14ac:dyDescent="0.3">
      <c r="A64" t="s">
        <v>323</v>
      </c>
      <c r="B64">
        <f>IF(AND(B62&gt;=8.94, B62&lt;9.61),1,0)</f>
        <v>0</v>
      </c>
      <c r="C64">
        <f t="shared" ref="C64:S64" si="46">IF(AND(C62&gt;=8.94, C62&lt;9.61),1,0)</f>
        <v>0</v>
      </c>
      <c r="D64">
        <f t="shared" si="46"/>
        <v>0</v>
      </c>
      <c r="E64">
        <f t="shared" si="46"/>
        <v>0</v>
      </c>
      <c r="F64">
        <f t="shared" si="46"/>
        <v>0</v>
      </c>
      <c r="G64">
        <f t="shared" si="46"/>
        <v>1</v>
      </c>
      <c r="H64">
        <f t="shared" si="46"/>
        <v>0</v>
      </c>
      <c r="I64">
        <f t="shared" si="46"/>
        <v>0</v>
      </c>
      <c r="J64">
        <f t="shared" si="46"/>
        <v>0</v>
      </c>
      <c r="K64">
        <f t="shared" si="46"/>
        <v>1</v>
      </c>
      <c r="L64">
        <f t="shared" si="46"/>
        <v>1</v>
      </c>
      <c r="M64">
        <f t="shared" si="46"/>
        <v>0</v>
      </c>
      <c r="N64">
        <f t="shared" si="46"/>
        <v>0</v>
      </c>
      <c r="O64">
        <f t="shared" si="46"/>
        <v>0</v>
      </c>
      <c r="P64">
        <f t="shared" si="46"/>
        <v>0</v>
      </c>
      <c r="Q64">
        <f t="shared" si="46"/>
        <v>0</v>
      </c>
      <c r="R64">
        <f t="shared" si="46"/>
        <v>0</v>
      </c>
      <c r="S64">
        <f t="shared" si="46"/>
        <v>1</v>
      </c>
    </row>
    <row r="65" spans="1:22" x14ac:dyDescent="0.3">
      <c r="A65" t="s">
        <v>324</v>
      </c>
      <c r="B65">
        <f>IF(B62&gt;=9.61,1,0)</f>
        <v>1</v>
      </c>
      <c r="C65">
        <f t="shared" ref="C65:S65" si="47">IF(C62&gt;=9.61,1,0)</f>
        <v>1</v>
      </c>
      <c r="D65">
        <f t="shared" si="47"/>
        <v>1</v>
      </c>
      <c r="E65">
        <f t="shared" si="47"/>
        <v>0</v>
      </c>
      <c r="F65">
        <f t="shared" si="47"/>
        <v>1</v>
      </c>
      <c r="G65">
        <f t="shared" si="47"/>
        <v>0</v>
      </c>
      <c r="H65">
        <f t="shared" si="47"/>
        <v>1</v>
      </c>
      <c r="I65">
        <f t="shared" si="47"/>
        <v>0</v>
      </c>
      <c r="J65">
        <f t="shared" si="47"/>
        <v>0</v>
      </c>
      <c r="K65">
        <f t="shared" si="47"/>
        <v>0</v>
      </c>
      <c r="L65">
        <f t="shared" si="47"/>
        <v>0</v>
      </c>
      <c r="M65">
        <f t="shared" si="47"/>
        <v>0</v>
      </c>
      <c r="N65">
        <f t="shared" si="47"/>
        <v>0</v>
      </c>
      <c r="O65">
        <f t="shared" si="47"/>
        <v>0</v>
      </c>
      <c r="P65">
        <f t="shared" si="47"/>
        <v>0</v>
      </c>
      <c r="Q65">
        <f t="shared" si="47"/>
        <v>0</v>
      </c>
      <c r="R65">
        <f t="shared" si="47"/>
        <v>0</v>
      </c>
      <c r="S65">
        <f t="shared" si="47"/>
        <v>0</v>
      </c>
    </row>
    <row r="66" spans="1:22" x14ac:dyDescent="0.3">
      <c r="A66" t="s">
        <v>216</v>
      </c>
      <c r="B66">
        <v>0.34369197329511952</v>
      </c>
      <c r="C66">
        <v>0.36385511032320522</v>
      </c>
      <c r="D66">
        <v>0.38351435749138602</v>
      </c>
      <c r="E66">
        <v>0.3024354139829537</v>
      </c>
      <c r="F66">
        <v>0.35812254283693212</v>
      </c>
      <c r="G66">
        <v>0.33619405111426975</v>
      </c>
      <c r="H66">
        <v>0.33507318801128788</v>
      </c>
      <c r="I66">
        <v>0.27820989685833536</v>
      </c>
      <c r="J66">
        <v>0.32215198051579325</v>
      </c>
      <c r="K66">
        <v>0.36613001062461881</v>
      </c>
      <c r="L66">
        <v>0.37500206182254786</v>
      </c>
      <c r="M66">
        <v>0.34607440921678284</v>
      </c>
      <c r="N66">
        <v>0.29464742483732875</v>
      </c>
      <c r="O66">
        <v>0.34293088567057745</v>
      </c>
      <c r="P66">
        <v>0.41490592247521235</v>
      </c>
      <c r="Q66">
        <v>0.43430294550539994</v>
      </c>
      <c r="R66">
        <v>0.27901257104924698</v>
      </c>
      <c r="S66">
        <v>0.33240816137400331</v>
      </c>
      <c r="T66" s="8">
        <v>0.32471602573034575</v>
      </c>
      <c r="U66" s="8">
        <v>0.34331142948284848</v>
      </c>
      <c r="V66" s="8">
        <v>0.36556128554926542</v>
      </c>
    </row>
    <row r="67" spans="1:22" x14ac:dyDescent="0.3">
      <c r="A67" t="s">
        <v>325</v>
      </c>
      <c r="B67">
        <f>IF(AND(B66&gt;=0.3247,B66&lt;0.3433),1,0)</f>
        <v>0</v>
      </c>
      <c r="C67">
        <f t="shared" ref="C67:S67" si="48">IF(AND(C66&gt;=0.3247,C66&lt;0.3433),1,0)</f>
        <v>0</v>
      </c>
      <c r="D67">
        <f t="shared" si="48"/>
        <v>0</v>
      </c>
      <c r="E67">
        <f t="shared" si="48"/>
        <v>0</v>
      </c>
      <c r="F67">
        <f t="shared" si="48"/>
        <v>0</v>
      </c>
      <c r="G67">
        <f t="shared" si="48"/>
        <v>1</v>
      </c>
      <c r="H67">
        <f t="shared" si="48"/>
        <v>1</v>
      </c>
      <c r="I67">
        <f t="shared" si="48"/>
        <v>0</v>
      </c>
      <c r="J67">
        <f t="shared" si="48"/>
        <v>0</v>
      </c>
      <c r="K67">
        <f t="shared" si="48"/>
        <v>0</v>
      </c>
      <c r="L67">
        <f t="shared" si="48"/>
        <v>0</v>
      </c>
      <c r="M67">
        <f t="shared" si="48"/>
        <v>0</v>
      </c>
      <c r="N67">
        <f t="shared" si="48"/>
        <v>0</v>
      </c>
      <c r="O67">
        <f t="shared" si="48"/>
        <v>1</v>
      </c>
      <c r="P67">
        <f t="shared" si="48"/>
        <v>0</v>
      </c>
      <c r="Q67">
        <f t="shared" si="48"/>
        <v>0</v>
      </c>
      <c r="R67">
        <f t="shared" si="48"/>
        <v>0</v>
      </c>
      <c r="S67">
        <f t="shared" si="48"/>
        <v>1</v>
      </c>
    </row>
    <row r="68" spans="1:22" x14ac:dyDescent="0.3">
      <c r="A68" t="s">
        <v>326</v>
      </c>
      <c r="B68">
        <f>IF(AND(B66&gt;=0.3433, B66&lt;0.3656),1,0)</f>
        <v>1</v>
      </c>
      <c r="C68">
        <f t="shared" ref="C68:S68" si="49">IF(AND(C66&gt;=0.3433, C66&lt;0.3656),1,0)</f>
        <v>1</v>
      </c>
      <c r="D68">
        <f t="shared" si="49"/>
        <v>0</v>
      </c>
      <c r="E68">
        <f t="shared" si="49"/>
        <v>0</v>
      </c>
      <c r="F68">
        <f t="shared" si="49"/>
        <v>1</v>
      </c>
      <c r="G68">
        <f t="shared" si="49"/>
        <v>0</v>
      </c>
      <c r="H68">
        <f t="shared" si="49"/>
        <v>0</v>
      </c>
      <c r="I68">
        <f t="shared" si="49"/>
        <v>0</v>
      </c>
      <c r="J68">
        <f t="shared" si="49"/>
        <v>0</v>
      </c>
      <c r="K68">
        <f t="shared" si="49"/>
        <v>0</v>
      </c>
      <c r="L68">
        <f t="shared" si="49"/>
        <v>0</v>
      </c>
      <c r="M68">
        <f t="shared" si="49"/>
        <v>1</v>
      </c>
      <c r="N68">
        <f t="shared" si="49"/>
        <v>0</v>
      </c>
      <c r="O68">
        <f t="shared" si="49"/>
        <v>0</v>
      </c>
      <c r="P68">
        <f t="shared" si="49"/>
        <v>0</v>
      </c>
      <c r="Q68">
        <f t="shared" si="49"/>
        <v>0</v>
      </c>
      <c r="R68">
        <f t="shared" si="49"/>
        <v>0</v>
      </c>
      <c r="S68">
        <f t="shared" si="49"/>
        <v>0</v>
      </c>
    </row>
    <row r="69" spans="1:22" x14ac:dyDescent="0.3">
      <c r="A69" t="s">
        <v>327</v>
      </c>
      <c r="B69">
        <f>IF(B66&gt;=0.3656,1,0)</f>
        <v>0</v>
      </c>
      <c r="C69">
        <f t="shared" ref="C69:S69" si="50">IF(C66&gt;=0.3656,1,0)</f>
        <v>0</v>
      </c>
      <c r="D69">
        <f t="shared" si="50"/>
        <v>1</v>
      </c>
      <c r="E69">
        <f t="shared" si="50"/>
        <v>0</v>
      </c>
      <c r="F69">
        <f t="shared" si="50"/>
        <v>0</v>
      </c>
      <c r="G69">
        <f t="shared" si="50"/>
        <v>0</v>
      </c>
      <c r="H69">
        <f t="shared" si="50"/>
        <v>0</v>
      </c>
      <c r="I69">
        <f t="shared" si="50"/>
        <v>0</v>
      </c>
      <c r="J69">
        <f t="shared" si="50"/>
        <v>0</v>
      </c>
      <c r="K69">
        <f t="shared" si="50"/>
        <v>1</v>
      </c>
      <c r="L69">
        <f t="shared" si="50"/>
        <v>1</v>
      </c>
      <c r="M69">
        <f t="shared" si="50"/>
        <v>0</v>
      </c>
      <c r="N69">
        <f t="shared" si="50"/>
        <v>0</v>
      </c>
      <c r="O69">
        <f t="shared" si="50"/>
        <v>0</v>
      </c>
      <c r="P69">
        <f t="shared" si="50"/>
        <v>1</v>
      </c>
      <c r="Q69">
        <f t="shared" si="50"/>
        <v>1</v>
      </c>
      <c r="R69">
        <f t="shared" si="50"/>
        <v>0</v>
      </c>
      <c r="S69">
        <f t="shared" si="50"/>
        <v>0</v>
      </c>
    </row>
    <row r="70" spans="1:22" x14ac:dyDescent="0.3">
      <c r="A70" t="s">
        <v>217</v>
      </c>
      <c r="B70">
        <v>3.5714484562755744</v>
      </c>
      <c r="C70">
        <v>4.0858197883972807</v>
      </c>
      <c r="D70">
        <v>7.7899729570534575</v>
      </c>
      <c r="E70">
        <v>5.4390663729683748</v>
      </c>
      <c r="F70">
        <v>5.3332396538115852</v>
      </c>
      <c r="G70">
        <v>3.7564277361100178</v>
      </c>
      <c r="H70">
        <v>3.7465111086301217</v>
      </c>
      <c r="I70">
        <v>3.5269475329887645</v>
      </c>
      <c r="J70">
        <v>-25.434260507921476</v>
      </c>
      <c r="K70">
        <v>-8.3513057916983655</v>
      </c>
      <c r="L70">
        <v>5.2985572655531188</v>
      </c>
      <c r="M70">
        <v>6.4967398375002956</v>
      </c>
      <c r="N70">
        <v>5.5170747186083604</v>
      </c>
      <c r="O70">
        <v>5.9781260333408506</v>
      </c>
      <c r="P70">
        <v>3.1073939162248245</v>
      </c>
      <c r="Q70">
        <v>53.560232101994117</v>
      </c>
      <c r="R70">
        <v>14.01836586084414</v>
      </c>
      <c r="S70">
        <v>4.5529712900038914</v>
      </c>
      <c r="T70" s="8">
        <v>3.6152141193642113</v>
      </c>
      <c r="U70" s="8">
        <v>4.9257642777785051</v>
      </c>
      <c r="V70" s="8">
        <v>5.862863204657728</v>
      </c>
    </row>
    <row r="71" spans="1:22" x14ac:dyDescent="0.3">
      <c r="A71" t="s">
        <v>328</v>
      </c>
      <c r="B71">
        <f>IF(AND(B70&gt;=3.6152,B70&lt;4.926),1,0)</f>
        <v>0</v>
      </c>
      <c r="C71">
        <f t="shared" ref="C71:S71" si="51">IF(AND(C70&gt;=3.6152,C70&lt;4.926),1,0)</f>
        <v>1</v>
      </c>
      <c r="D71">
        <f t="shared" si="51"/>
        <v>0</v>
      </c>
      <c r="E71">
        <f t="shared" si="51"/>
        <v>0</v>
      </c>
      <c r="F71">
        <f t="shared" si="51"/>
        <v>0</v>
      </c>
      <c r="G71">
        <f t="shared" si="51"/>
        <v>1</v>
      </c>
      <c r="H71">
        <f t="shared" si="51"/>
        <v>1</v>
      </c>
      <c r="I71">
        <f t="shared" si="51"/>
        <v>0</v>
      </c>
      <c r="J71">
        <f t="shared" si="51"/>
        <v>0</v>
      </c>
      <c r="K71">
        <f t="shared" si="51"/>
        <v>0</v>
      </c>
      <c r="L71">
        <f t="shared" si="51"/>
        <v>0</v>
      </c>
      <c r="M71">
        <f t="shared" si="51"/>
        <v>0</v>
      </c>
      <c r="N71">
        <f t="shared" si="51"/>
        <v>0</v>
      </c>
      <c r="O71">
        <f t="shared" si="51"/>
        <v>0</v>
      </c>
      <c r="P71">
        <f t="shared" si="51"/>
        <v>0</v>
      </c>
      <c r="Q71">
        <f t="shared" si="51"/>
        <v>0</v>
      </c>
      <c r="R71">
        <f t="shared" si="51"/>
        <v>0</v>
      </c>
      <c r="S71">
        <f t="shared" si="51"/>
        <v>1</v>
      </c>
    </row>
    <row r="72" spans="1:22" x14ac:dyDescent="0.3">
      <c r="A72" t="s">
        <v>329</v>
      </c>
      <c r="B72">
        <f>IF(AND(B70&gt;=4.926, B70&lt;5.8629),1,0)</f>
        <v>0</v>
      </c>
      <c r="C72">
        <f t="shared" ref="C72:S72" si="52">IF(AND(C70&gt;=4.926, C70&lt;5.8629),1,0)</f>
        <v>0</v>
      </c>
      <c r="D72">
        <f t="shared" si="52"/>
        <v>0</v>
      </c>
      <c r="E72">
        <f t="shared" si="52"/>
        <v>1</v>
      </c>
      <c r="F72">
        <f t="shared" si="52"/>
        <v>1</v>
      </c>
      <c r="G72">
        <f t="shared" si="52"/>
        <v>0</v>
      </c>
      <c r="H72">
        <f t="shared" si="52"/>
        <v>0</v>
      </c>
      <c r="I72">
        <f t="shared" si="52"/>
        <v>0</v>
      </c>
      <c r="J72">
        <f t="shared" si="52"/>
        <v>0</v>
      </c>
      <c r="K72">
        <f t="shared" si="52"/>
        <v>0</v>
      </c>
      <c r="L72">
        <f t="shared" si="52"/>
        <v>1</v>
      </c>
      <c r="M72">
        <f t="shared" si="52"/>
        <v>0</v>
      </c>
      <c r="N72">
        <f t="shared" si="52"/>
        <v>1</v>
      </c>
      <c r="O72">
        <f t="shared" si="52"/>
        <v>0</v>
      </c>
      <c r="P72">
        <f t="shared" si="52"/>
        <v>0</v>
      </c>
      <c r="Q72">
        <f t="shared" si="52"/>
        <v>0</v>
      </c>
      <c r="R72">
        <f t="shared" si="52"/>
        <v>0</v>
      </c>
      <c r="S72">
        <f t="shared" si="52"/>
        <v>0</v>
      </c>
    </row>
    <row r="73" spans="1:22" x14ac:dyDescent="0.3">
      <c r="A73" t="s">
        <v>330</v>
      </c>
      <c r="B73">
        <f>IF(B70&gt;=5.8629,1,0)</f>
        <v>0</v>
      </c>
      <c r="C73">
        <f t="shared" ref="C73:S73" si="53">IF(C70&gt;=5.8629,1,0)</f>
        <v>0</v>
      </c>
      <c r="D73">
        <f t="shared" si="53"/>
        <v>1</v>
      </c>
      <c r="E73">
        <f t="shared" si="53"/>
        <v>0</v>
      </c>
      <c r="F73">
        <f t="shared" si="53"/>
        <v>0</v>
      </c>
      <c r="G73">
        <f t="shared" si="53"/>
        <v>0</v>
      </c>
      <c r="H73">
        <f t="shared" si="53"/>
        <v>0</v>
      </c>
      <c r="I73">
        <f t="shared" si="53"/>
        <v>0</v>
      </c>
      <c r="J73">
        <f t="shared" si="53"/>
        <v>0</v>
      </c>
      <c r="K73">
        <f t="shared" si="53"/>
        <v>0</v>
      </c>
      <c r="L73">
        <f t="shared" si="53"/>
        <v>0</v>
      </c>
      <c r="M73">
        <f t="shared" si="53"/>
        <v>1</v>
      </c>
      <c r="N73">
        <f t="shared" si="53"/>
        <v>0</v>
      </c>
      <c r="O73">
        <f t="shared" si="53"/>
        <v>1</v>
      </c>
      <c r="P73">
        <f t="shared" si="53"/>
        <v>0</v>
      </c>
      <c r="Q73">
        <f t="shared" si="53"/>
        <v>1</v>
      </c>
      <c r="R73">
        <f t="shared" si="53"/>
        <v>1</v>
      </c>
      <c r="S73">
        <f t="shared" si="53"/>
        <v>0</v>
      </c>
    </row>
    <row r="74" spans="1:22" x14ac:dyDescent="0.3">
      <c r="A74" t="s">
        <v>218</v>
      </c>
      <c r="B74">
        <v>0.89876476290445628</v>
      </c>
      <c r="C74">
        <v>0.96126819555629683</v>
      </c>
      <c r="D74">
        <v>1.0194186920309698</v>
      </c>
      <c r="E74">
        <v>0.75332527105097591</v>
      </c>
      <c r="F74">
        <v>0.68505784211307397</v>
      </c>
      <c r="G74">
        <v>0.59155054055229339</v>
      </c>
      <c r="H74">
        <v>0.59446753255153584</v>
      </c>
      <c r="I74">
        <v>0.50117873234638999</v>
      </c>
      <c r="J74">
        <v>0.55904948823291889</v>
      </c>
      <c r="K74">
        <v>0.68623996695710709</v>
      </c>
      <c r="L74">
        <v>0.68229400038989663</v>
      </c>
      <c r="M74">
        <v>0.67162140464835907</v>
      </c>
      <c r="N74">
        <v>0.77333816531891109</v>
      </c>
      <c r="O74">
        <v>0.71131466986007519</v>
      </c>
      <c r="P74">
        <v>0.81587855824438438</v>
      </c>
      <c r="Q74">
        <v>0.81630690465024458</v>
      </c>
      <c r="R74">
        <v>1.1054965129914214</v>
      </c>
      <c r="S74">
        <v>0.99826469931170947</v>
      </c>
      <c r="T74" s="8">
        <v>0.67428955358374343</v>
      </c>
      <c r="U74" s="8">
        <v>0.73231997045552555</v>
      </c>
      <c r="V74" s="8">
        <v>0.8781502983409033</v>
      </c>
    </row>
    <row r="75" spans="1:22" x14ac:dyDescent="0.3">
      <c r="A75" t="s">
        <v>331</v>
      </c>
      <c r="B75">
        <f>IF(AND(B74&gt;=0.6743,B74&lt;0.7323),1,0)</f>
        <v>0</v>
      </c>
      <c r="C75">
        <f t="shared" ref="C75:S75" si="54">IF(AND(C74&gt;=0.6743,C74&lt;0.7323),1,0)</f>
        <v>0</v>
      </c>
      <c r="D75">
        <f t="shared" si="54"/>
        <v>0</v>
      </c>
      <c r="E75">
        <f t="shared" si="54"/>
        <v>0</v>
      </c>
      <c r="F75">
        <f t="shared" si="54"/>
        <v>1</v>
      </c>
      <c r="G75">
        <f t="shared" si="54"/>
        <v>0</v>
      </c>
      <c r="H75">
        <f t="shared" si="54"/>
        <v>0</v>
      </c>
      <c r="I75">
        <f t="shared" si="54"/>
        <v>0</v>
      </c>
      <c r="J75">
        <f t="shared" si="54"/>
        <v>0</v>
      </c>
      <c r="K75">
        <f t="shared" si="54"/>
        <v>1</v>
      </c>
      <c r="L75">
        <f t="shared" si="54"/>
        <v>1</v>
      </c>
      <c r="M75">
        <f t="shared" si="54"/>
        <v>0</v>
      </c>
      <c r="N75">
        <f t="shared" si="54"/>
        <v>0</v>
      </c>
      <c r="O75">
        <f t="shared" si="54"/>
        <v>1</v>
      </c>
      <c r="P75">
        <f t="shared" si="54"/>
        <v>0</v>
      </c>
      <c r="Q75">
        <f t="shared" si="54"/>
        <v>0</v>
      </c>
      <c r="R75">
        <f t="shared" si="54"/>
        <v>0</v>
      </c>
      <c r="S75">
        <f t="shared" si="54"/>
        <v>0</v>
      </c>
    </row>
    <row r="76" spans="1:22" x14ac:dyDescent="0.3">
      <c r="A76" t="s">
        <v>332</v>
      </c>
      <c r="B76">
        <f>IF(AND(B74&gt;=0.7323, B74&lt;0.8782),1,0)</f>
        <v>0</v>
      </c>
      <c r="C76">
        <f t="shared" ref="C76:S76" si="55">IF(AND(C74&gt;=0.7323, C74&lt;0.8782),1,0)</f>
        <v>0</v>
      </c>
      <c r="D76">
        <f t="shared" si="55"/>
        <v>0</v>
      </c>
      <c r="E76">
        <f t="shared" si="55"/>
        <v>1</v>
      </c>
      <c r="F76">
        <f t="shared" si="55"/>
        <v>0</v>
      </c>
      <c r="G76">
        <f t="shared" si="55"/>
        <v>0</v>
      </c>
      <c r="H76">
        <f t="shared" si="55"/>
        <v>0</v>
      </c>
      <c r="I76">
        <f t="shared" si="55"/>
        <v>0</v>
      </c>
      <c r="J76">
        <f t="shared" si="55"/>
        <v>0</v>
      </c>
      <c r="K76">
        <f t="shared" si="55"/>
        <v>0</v>
      </c>
      <c r="L76">
        <f t="shared" si="55"/>
        <v>0</v>
      </c>
      <c r="M76">
        <f t="shared" si="55"/>
        <v>0</v>
      </c>
      <c r="N76">
        <f t="shared" si="55"/>
        <v>1</v>
      </c>
      <c r="O76">
        <f t="shared" si="55"/>
        <v>0</v>
      </c>
      <c r="P76">
        <f t="shared" si="55"/>
        <v>1</v>
      </c>
      <c r="Q76">
        <f t="shared" si="55"/>
        <v>1</v>
      </c>
      <c r="R76">
        <f t="shared" si="55"/>
        <v>0</v>
      </c>
      <c r="S76">
        <f t="shared" si="55"/>
        <v>0</v>
      </c>
    </row>
    <row r="77" spans="1:22" x14ac:dyDescent="0.3">
      <c r="A77" t="s">
        <v>333</v>
      </c>
      <c r="B77">
        <f>IF(B74&gt;=0.8782,1,0)</f>
        <v>1</v>
      </c>
      <c r="C77">
        <f t="shared" ref="C77:S77" si="56">IF(C74&gt;=0.8782,1,0)</f>
        <v>1</v>
      </c>
      <c r="D77">
        <f t="shared" si="56"/>
        <v>1</v>
      </c>
      <c r="E77">
        <f t="shared" si="56"/>
        <v>0</v>
      </c>
      <c r="F77">
        <f t="shared" si="56"/>
        <v>0</v>
      </c>
      <c r="G77">
        <f t="shared" si="56"/>
        <v>0</v>
      </c>
      <c r="H77">
        <f t="shared" si="56"/>
        <v>0</v>
      </c>
      <c r="I77">
        <f t="shared" si="56"/>
        <v>0</v>
      </c>
      <c r="J77">
        <f t="shared" si="56"/>
        <v>0</v>
      </c>
      <c r="K77">
        <f t="shared" si="56"/>
        <v>0</v>
      </c>
      <c r="L77">
        <f t="shared" si="56"/>
        <v>0</v>
      </c>
      <c r="M77">
        <f t="shared" si="56"/>
        <v>0</v>
      </c>
      <c r="N77">
        <f t="shared" si="56"/>
        <v>0</v>
      </c>
      <c r="O77">
        <f t="shared" si="56"/>
        <v>0</v>
      </c>
      <c r="P77">
        <f t="shared" si="56"/>
        <v>0</v>
      </c>
      <c r="Q77">
        <f t="shared" si="56"/>
        <v>0</v>
      </c>
      <c r="R77">
        <f t="shared" si="56"/>
        <v>1</v>
      </c>
      <c r="S77">
        <f t="shared" si="56"/>
        <v>1</v>
      </c>
    </row>
    <row r="78" spans="1:22" x14ac:dyDescent="0.3">
      <c r="A78" t="s">
        <v>219</v>
      </c>
      <c r="B78">
        <v>1.0104935642627295</v>
      </c>
      <c r="C78">
        <v>1.0712371526285966</v>
      </c>
      <c r="D78">
        <v>1.1165541207144338</v>
      </c>
      <c r="E78">
        <v>0.87317334754918463</v>
      </c>
      <c r="F78">
        <v>0.78604820006343645</v>
      </c>
      <c r="G78">
        <v>0.70303192319736907</v>
      </c>
      <c r="H78">
        <v>0.68637816055523571</v>
      </c>
      <c r="I78">
        <v>0.57569358551949967</v>
      </c>
      <c r="J78">
        <v>0.63304309674210824</v>
      </c>
      <c r="K78">
        <v>0.77716280303001917</v>
      </c>
      <c r="L78">
        <v>0.74138757250596332</v>
      </c>
      <c r="M78">
        <v>0.74737568554986245</v>
      </c>
      <c r="N78">
        <v>0.88255024831638884</v>
      </c>
      <c r="O78">
        <v>0.82836722914579319</v>
      </c>
      <c r="P78">
        <v>0.9333663556679882</v>
      </c>
      <c r="Q78">
        <v>0.94386118407272224</v>
      </c>
      <c r="R78">
        <v>1.2401821884836142</v>
      </c>
      <c r="S78">
        <v>1.1403938255976001</v>
      </c>
      <c r="T78" s="8">
        <v>0.74288460076693807</v>
      </c>
      <c r="U78" s="8">
        <v>0.85077028834748891</v>
      </c>
      <c r="V78" s="8">
        <v>0.9938354692152277</v>
      </c>
    </row>
    <row r="79" spans="1:22" x14ac:dyDescent="0.3">
      <c r="A79" t="s">
        <v>334</v>
      </c>
      <c r="B79">
        <f>IF(AND(B78&gt;=0.7429,B78&lt;0.8508),1,0)</f>
        <v>0</v>
      </c>
      <c r="C79">
        <f t="shared" ref="C79:S79" si="57">IF(AND(C78&gt;=0.7429,C78&lt;0.8508),1,0)</f>
        <v>0</v>
      </c>
      <c r="D79">
        <f t="shared" si="57"/>
        <v>0</v>
      </c>
      <c r="E79">
        <f t="shared" si="57"/>
        <v>0</v>
      </c>
      <c r="F79">
        <f t="shared" si="57"/>
        <v>1</v>
      </c>
      <c r="G79">
        <f t="shared" si="57"/>
        <v>0</v>
      </c>
      <c r="H79">
        <f t="shared" si="57"/>
        <v>0</v>
      </c>
      <c r="I79">
        <f t="shared" si="57"/>
        <v>0</v>
      </c>
      <c r="J79">
        <f t="shared" si="57"/>
        <v>0</v>
      </c>
      <c r="K79">
        <f t="shared" si="57"/>
        <v>1</v>
      </c>
      <c r="L79">
        <f t="shared" si="57"/>
        <v>0</v>
      </c>
      <c r="M79">
        <f t="shared" si="57"/>
        <v>1</v>
      </c>
      <c r="N79">
        <f t="shared" si="57"/>
        <v>0</v>
      </c>
      <c r="O79">
        <f t="shared" si="57"/>
        <v>1</v>
      </c>
      <c r="P79">
        <f t="shared" si="57"/>
        <v>0</v>
      </c>
      <c r="Q79">
        <f t="shared" si="57"/>
        <v>0</v>
      </c>
      <c r="R79">
        <f t="shared" si="57"/>
        <v>0</v>
      </c>
      <c r="S79">
        <f t="shared" si="57"/>
        <v>0</v>
      </c>
    </row>
    <row r="80" spans="1:22" x14ac:dyDescent="0.3">
      <c r="A80" t="s">
        <v>335</v>
      </c>
      <c r="B80">
        <f>IF(AND(B78&gt;=0.8508, B78&lt;0.994),1,0)</f>
        <v>0</v>
      </c>
      <c r="C80">
        <f t="shared" ref="C80:S80" si="58">IF(AND(C78&gt;=0.8508, C78&lt;0.994),1,0)</f>
        <v>0</v>
      </c>
      <c r="D80">
        <f t="shared" si="58"/>
        <v>0</v>
      </c>
      <c r="E80">
        <f t="shared" si="58"/>
        <v>1</v>
      </c>
      <c r="F80">
        <f t="shared" si="58"/>
        <v>0</v>
      </c>
      <c r="G80">
        <f t="shared" si="58"/>
        <v>0</v>
      </c>
      <c r="H80">
        <f t="shared" si="58"/>
        <v>0</v>
      </c>
      <c r="I80">
        <f t="shared" si="58"/>
        <v>0</v>
      </c>
      <c r="J80">
        <f t="shared" si="58"/>
        <v>0</v>
      </c>
      <c r="K80">
        <f t="shared" si="58"/>
        <v>0</v>
      </c>
      <c r="L80">
        <f t="shared" si="58"/>
        <v>0</v>
      </c>
      <c r="M80">
        <f t="shared" si="58"/>
        <v>0</v>
      </c>
      <c r="N80">
        <f t="shared" si="58"/>
        <v>1</v>
      </c>
      <c r="O80">
        <f t="shared" si="58"/>
        <v>0</v>
      </c>
      <c r="P80">
        <f t="shared" si="58"/>
        <v>1</v>
      </c>
      <c r="Q80">
        <f t="shared" si="58"/>
        <v>1</v>
      </c>
      <c r="R80">
        <f t="shared" si="58"/>
        <v>0</v>
      </c>
      <c r="S80">
        <f t="shared" si="58"/>
        <v>0</v>
      </c>
    </row>
    <row r="81" spans="1:22" x14ac:dyDescent="0.3">
      <c r="A81" t="s">
        <v>336</v>
      </c>
      <c r="B81">
        <f>IF(B78&gt;=0.994,1,0)</f>
        <v>1</v>
      </c>
      <c r="C81">
        <f t="shared" ref="C81:S81" si="59">IF(C78&gt;=0.994,1,0)</f>
        <v>1</v>
      </c>
      <c r="D81">
        <f t="shared" si="59"/>
        <v>1</v>
      </c>
      <c r="E81">
        <f t="shared" si="59"/>
        <v>0</v>
      </c>
      <c r="F81">
        <f t="shared" si="59"/>
        <v>0</v>
      </c>
      <c r="G81">
        <f t="shared" si="59"/>
        <v>0</v>
      </c>
      <c r="H81">
        <f t="shared" si="59"/>
        <v>0</v>
      </c>
      <c r="I81">
        <f t="shared" si="59"/>
        <v>0</v>
      </c>
      <c r="J81">
        <f t="shared" si="59"/>
        <v>0</v>
      </c>
      <c r="K81">
        <f t="shared" si="59"/>
        <v>0</v>
      </c>
      <c r="L81">
        <f t="shared" si="59"/>
        <v>0</v>
      </c>
      <c r="M81">
        <f t="shared" si="59"/>
        <v>0</v>
      </c>
      <c r="N81">
        <f t="shared" si="59"/>
        <v>0</v>
      </c>
      <c r="O81">
        <f t="shared" si="59"/>
        <v>0</v>
      </c>
      <c r="P81">
        <f t="shared" si="59"/>
        <v>0</v>
      </c>
      <c r="Q81">
        <f t="shared" si="59"/>
        <v>0</v>
      </c>
      <c r="R81">
        <f t="shared" si="59"/>
        <v>1</v>
      </c>
      <c r="S81">
        <f t="shared" si="59"/>
        <v>1</v>
      </c>
    </row>
    <row r="82" spans="1:22" x14ac:dyDescent="0.3">
      <c r="A82" t="s">
        <v>220</v>
      </c>
      <c r="B82">
        <v>0.24730033870791962</v>
      </c>
      <c r="C82">
        <v>0.25192370841241746</v>
      </c>
      <c r="D82">
        <v>0.22961149044025822</v>
      </c>
      <c r="E82">
        <v>0.21880604086790967</v>
      </c>
      <c r="F82">
        <v>0.20944595679919453</v>
      </c>
      <c r="G82">
        <v>0.14225705805779093</v>
      </c>
      <c r="H82">
        <v>0.11965381853933675</v>
      </c>
      <c r="I82">
        <v>0.16422485839881754</v>
      </c>
      <c r="J82">
        <v>0.12248247422836249</v>
      </c>
      <c r="K82">
        <v>0.14550113474742751</v>
      </c>
      <c r="L82">
        <v>0.17783162387840942</v>
      </c>
      <c r="M82">
        <v>0.15910475004718216</v>
      </c>
      <c r="N82">
        <v>0.15560104050200646</v>
      </c>
      <c r="O82">
        <v>0.15484936821616735</v>
      </c>
      <c r="P82">
        <v>0.20146361867852758</v>
      </c>
      <c r="Q82">
        <v>0.11130483783367966</v>
      </c>
      <c r="R82">
        <v>0.16609911744738629</v>
      </c>
      <c r="S82">
        <v>6.9936277273646028E-2</v>
      </c>
      <c r="T82" s="8">
        <v>0.14306807723020007</v>
      </c>
      <c r="U82" s="8">
        <v>0.16166480422299984</v>
      </c>
      <c r="V82" s="8">
        <v>0.20745037226902779</v>
      </c>
    </row>
    <row r="83" spans="1:22" x14ac:dyDescent="0.3">
      <c r="A83" t="s">
        <v>337</v>
      </c>
      <c r="B83">
        <f>IF(AND(B82&gt;=0.1431,B82&lt;0.1617),1,0)</f>
        <v>0</v>
      </c>
      <c r="C83">
        <f t="shared" ref="C83:S83" si="60">IF(AND(C82&gt;=0.1431,C82&lt;0.1617),1,0)</f>
        <v>0</v>
      </c>
      <c r="D83">
        <f t="shared" si="60"/>
        <v>0</v>
      </c>
      <c r="E83">
        <f t="shared" si="60"/>
        <v>0</v>
      </c>
      <c r="F83">
        <f t="shared" si="60"/>
        <v>0</v>
      </c>
      <c r="G83">
        <f t="shared" si="60"/>
        <v>0</v>
      </c>
      <c r="H83">
        <f t="shared" si="60"/>
        <v>0</v>
      </c>
      <c r="I83">
        <f t="shared" si="60"/>
        <v>0</v>
      </c>
      <c r="J83">
        <f t="shared" si="60"/>
        <v>0</v>
      </c>
      <c r="K83">
        <f t="shared" si="60"/>
        <v>1</v>
      </c>
      <c r="L83">
        <f t="shared" si="60"/>
        <v>0</v>
      </c>
      <c r="M83">
        <f t="shared" si="60"/>
        <v>1</v>
      </c>
      <c r="N83">
        <f t="shared" si="60"/>
        <v>1</v>
      </c>
      <c r="O83">
        <f t="shared" si="60"/>
        <v>1</v>
      </c>
      <c r="P83">
        <f t="shared" si="60"/>
        <v>0</v>
      </c>
      <c r="Q83">
        <f t="shared" si="60"/>
        <v>0</v>
      </c>
      <c r="R83">
        <f t="shared" si="60"/>
        <v>0</v>
      </c>
      <c r="S83">
        <f t="shared" si="60"/>
        <v>0</v>
      </c>
    </row>
    <row r="84" spans="1:22" x14ac:dyDescent="0.3">
      <c r="A84" t="s">
        <v>338</v>
      </c>
      <c r="B84">
        <f>IF(AND(B82&gt;=0.1617, B82&lt;0.2075),1,0)</f>
        <v>0</v>
      </c>
      <c r="C84">
        <f t="shared" ref="C84:S84" si="61">IF(AND(C82&gt;=0.1617, C82&lt;0.2075),1,0)</f>
        <v>0</v>
      </c>
      <c r="D84">
        <f t="shared" si="61"/>
        <v>0</v>
      </c>
      <c r="E84">
        <f t="shared" si="61"/>
        <v>0</v>
      </c>
      <c r="F84">
        <f t="shared" si="61"/>
        <v>0</v>
      </c>
      <c r="G84">
        <f t="shared" si="61"/>
        <v>0</v>
      </c>
      <c r="H84">
        <f t="shared" si="61"/>
        <v>0</v>
      </c>
      <c r="I84">
        <f t="shared" si="61"/>
        <v>1</v>
      </c>
      <c r="J84">
        <f t="shared" si="61"/>
        <v>0</v>
      </c>
      <c r="K84">
        <f t="shared" si="61"/>
        <v>0</v>
      </c>
      <c r="L84">
        <f t="shared" si="61"/>
        <v>1</v>
      </c>
      <c r="M84">
        <f t="shared" si="61"/>
        <v>0</v>
      </c>
      <c r="N84">
        <f t="shared" si="61"/>
        <v>0</v>
      </c>
      <c r="O84">
        <f t="shared" si="61"/>
        <v>0</v>
      </c>
      <c r="P84">
        <f t="shared" si="61"/>
        <v>1</v>
      </c>
      <c r="Q84">
        <f t="shared" si="61"/>
        <v>0</v>
      </c>
      <c r="R84">
        <f t="shared" si="61"/>
        <v>1</v>
      </c>
      <c r="S84">
        <f t="shared" si="61"/>
        <v>0</v>
      </c>
    </row>
    <row r="85" spans="1:22" x14ac:dyDescent="0.3">
      <c r="A85" t="s">
        <v>339</v>
      </c>
      <c r="B85">
        <f>IF(B82&gt;=0.2075,1,0)</f>
        <v>1</v>
      </c>
      <c r="C85">
        <f t="shared" ref="C85:S85" si="62">IF(C82&gt;=0.2075,1,0)</f>
        <v>1</v>
      </c>
      <c r="D85">
        <f t="shared" si="62"/>
        <v>1</v>
      </c>
      <c r="E85">
        <f t="shared" si="62"/>
        <v>1</v>
      </c>
      <c r="F85">
        <f t="shared" si="62"/>
        <v>1</v>
      </c>
      <c r="G85">
        <f t="shared" si="62"/>
        <v>0</v>
      </c>
      <c r="H85">
        <f t="shared" si="62"/>
        <v>0</v>
      </c>
      <c r="I85">
        <f t="shared" si="62"/>
        <v>0</v>
      </c>
      <c r="J85">
        <f t="shared" si="62"/>
        <v>0</v>
      </c>
      <c r="K85">
        <f t="shared" si="62"/>
        <v>0</v>
      </c>
      <c r="L85">
        <f t="shared" si="62"/>
        <v>0</v>
      </c>
      <c r="M85">
        <f t="shared" si="62"/>
        <v>0</v>
      </c>
      <c r="N85">
        <f t="shared" si="62"/>
        <v>0</v>
      </c>
      <c r="O85">
        <f t="shared" si="62"/>
        <v>0</v>
      </c>
      <c r="P85">
        <f t="shared" si="62"/>
        <v>0</v>
      </c>
      <c r="Q85">
        <f t="shared" si="62"/>
        <v>0</v>
      </c>
      <c r="R85">
        <f t="shared" si="62"/>
        <v>0</v>
      </c>
      <c r="S85">
        <f t="shared" si="62"/>
        <v>0</v>
      </c>
    </row>
    <row r="86" spans="1:22" x14ac:dyDescent="0.3">
      <c r="A86" t="s">
        <v>221</v>
      </c>
      <c r="B86">
        <v>0.62544370251404913</v>
      </c>
      <c r="C86">
        <v>0.64340260281412365</v>
      </c>
      <c r="D86">
        <v>0.97587615701385599</v>
      </c>
      <c r="E86">
        <v>0.84243895590665319</v>
      </c>
      <c r="F86">
        <v>0.96736346803950402</v>
      </c>
      <c r="G86">
        <v>0.98219689273478206</v>
      </c>
      <c r="H86">
        <v>1.032915423848197</v>
      </c>
      <c r="I86">
        <v>0.99221866901823874</v>
      </c>
      <c r="J86">
        <v>0.80407537327368073</v>
      </c>
      <c r="K86">
        <v>0.72240462527812399</v>
      </c>
      <c r="L86">
        <v>0.90176659790421843</v>
      </c>
      <c r="M86">
        <v>1.1129842016756628</v>
      </c>
      <c r="N86">
        <v>0.77871321157606865</v>
      </c>
      <c r="O86">
        <v>0.80672741283026839</v>
      </c>
      <c r="P86">
        <v>0.99071616491084635</v>
      </c>
      <c r="Q86">
        <v>0.94277398591059169</v>
      </c>
      <c r="R86">
        <v>0.99950336864558109</v>
      </c>
      <c r="S86">
        <v>1.0367629956091773</v>
      </c>
      <c r="T86" s="8">
        <v>0.80473838316282764</v>
      </c>
      <c r="U86" s="8">
        <v>0.95506872697504785</v>
      </c>
      <c r="V86" s="8">
        <v>0.9918430429913907</v>
      </c>
    </row>
    <row r="87" spans="1:22" x14ac:dyDescent="0.3">
      <c r="A87" t="s">
        <v>340</v>
      </c>
      <c r="B87">
        <f>IF(AND(B86&gt;=0.805, B86&lt;0.955),1,0)</f>
        <v>0</v>
      </c>
      <c r="C87">
        <f t="shared" ref="C87:S87" si="63">IF(AND(C86&gt;=0.805, C86&lt;0.955),1,0)</f>
        <v>0</v>
      </c>
      <c r="D87">
        <f t="shared" si="63"/>
        <v>0</v>
      </c>
      <c r="E87">
        <f t="shared" si="63"/>
        <v>1</v>
      </c>
      <c r="F87">
        <f t="shared" si="63"/>
        <v>0</v>
      </c>
      <c r="G87">
        <f t="shared" si="63"/>
        <v>0</v>
      </c>
      <c r="H87">
        <f t="shared" si="63"/>
        <v>0</v>
      </c>
      <c r="I87">
        <f t="shared" si="63"/>
        <v>0</v>
      </c>
      <c r="J87">
        <f t="shared" si="63"/>
        <v>0</v>
      </c>
      <c r="K87">
        <f t="shared" si="63"/>
        <v>0</v>
      </c>
      <c r="L87">
        <f t="shared" si="63"/>
        <v>1</v>
      </c>
      <c r="M87">
        <f t="shared" si="63"/>
        <v>0</v>
      </c>
      <c r="N87">
        <f t="shared" si="63"/>
        <v>0</v>
      </c>
      <c r="O87">
        <f t="shared" si="63"/>
        <v>1</v>
      </c>
      <c r="P87">
        <f t="shared" si="63"/>
        <v>0</v>
      </c>
      <c r="Q87">
        <f t="shared" si="63"/>
        <v>1</v>
      </c>
      <c r="R87">
        <f t="shared" si="63"/>
        <v>0</v>
      </c>
      <c r="S87">
        <f t="shared" si="63"/>
        <v>0</v>
      </c>
    </row>
    <row r="88" spans="1:22" x14ac:dyDescent="0.3">
      <c r="A88" t="s">
        <v>341</v>
      </c>
      <c r="B88">
        <f>IF(AND(B86&gt;=0.955, B86&lt;0.992),1,0)</f>
        <v>0</v>
      </c>
      <c r="C88">
        <f t="shared" ref="C88:S88" si="64">IF(AND(C86&gt;=0.955, C86&lt;0.992),1,0)</f>
        <v>0</v>
      </c>
      <c r="D88">
        <f t="shared" si="64"/>
        <v>1</v>
      </c>
      <c r="E88">
        <f t="shared" si="64"/>
        <v>0</v>
      </c>
      <c r="F88">
        <f t="shared" si="64"/>
        <v>1</v>
      </c>
      <c r="G88">
        <f t="shared" si="64"/>
        <v>1</v>
      </c>
      <c r="H88">
        <f t="shared" si="64"/>
        <v>0</v>
      </c>
      <c r="I88">
        <f t="shared" si="64"/>
        <v>0</v>
      </c>
      <c r="J88">
        <f t="shared" si="64"/>
        <v>0</v>
      </c>
      <c r="K88">
        <f t="shared" si="64"/>
        <v>0</v>
      </c>
      <c r="L88">
        <f t="shared" si="64"/>
        <v>0</v>
      </c>
      <c r="M88">
        <f t="shared" si="64"/>
        <v>0</v>
      </c>
      <c r="N88">
        <f t="shared" si="64"/>
        <v>0</v>
      </c>
      <c r="O88">
        <f t="shared" si="64"/>
        <v>0</v>
      </c>
      <c r="P88">
        <f t="shared" si="64"/>
        <v>1</v>
      </c>
      <c r="Q88">
        <f t="shared" si="64"/>
        <v>0</v>
      </c>
      <c r="R88">
        <f t="shared" si="64"/>
        <v>0</v>
      </c>
      <c r="S88">
        <f t="shared" si="64"/>
        <v>0</v>
      </c>
    </row>
    <row r="89" spans="1:22" x14ac:dyDescent="0.3">
      <c r="A89" t="s">
        <v>342</v>
      </c>
      <c r="B89">
        <f>IF(B86&gt;=0.992,1,0)</f>
        <v>0</v>
      </c>
      <c r="C89">
        <f t="shared" ref="C89:S89" si="65">IF(C86&gt;=0.992,1,0)</f>
        <v>0</v>
      </c>
      <c r="D89">
        <f t="shared" si="65"/>
        <v>0</v>
      </c>
      <c r="E89">
        <f t="shared" si="65"/>
        <v>0</v>
      </c>
      <c r="F89">
        <f t="shared" si="65"/>
        <v>0</v>
      </c>
      <c r="G89">
        <f t="shared" si="65"/>
        <v>0</v>
      </c>
      <c r="H89">
        <f t="shared" si="65"/>
        <v>1</v>
      </c>
      <c r="I89">
        <f t="shared" si="65"/>
        <v>1</v>
      </c>
      <c r="J89">
        <f t="shared" si="65"/>
        <v>0</v>
      </c>
      <c r="K89">
        <f t="shared" si="65"/>
        <v>0</v>
      </c>
      <c r="L89">
        <f t="shared" si="65"/>
        <v>0</v>
      </c>
      <c r="M89">
        <f t="shared" si="65"/>
        <v>1</v>
      </c>
      <c r="N89">
        <f t="shared" si="65"/>
        <v>0</v>
      </c>
      <c r="O89">
        <f t="shared" si="65"/>
        <v>0</v>
      </c>
      <c r="P89">
        <f t="shared" si="65"/>
        <v>0</v>
      </c>
      <c r="Q89">
        <f t="shared" si="65"/>
        <v>0</v>
      </c>
      <c r="R89">
        <f t="shared" si="65"/>
        <v>1</v>
      </c>
      <c r="S89">
        <f t="shared" si="65"/>
        <v>1</v>
      </c>
    </row>
    <row r="90" spans="1:22" x14ac:dyDescent="0.3">
      <c r="A90" t="s">
        <v>222</v>
      </c>
      <c r="B90">
        <v>328.53500216952591</v>
      </c>
      <c r="C90">
        <v>310.72206373073726</v>
      </c>
      <c r="D90">
        <v>382.2905637428691</v>
      </c>
      <c r="E90">
        <v>239.33111511979172</v>
      </c>
      <c r="F90">
        <v>250.58874011522445</v>
      </c>
      <c r="G90">
        <v>269.85885263253874</v>
      </c>
      <c r="H90">
        <v>259.3619719910792</v>
      </c>
      <c r="I90">
        <v>260.46062615273269</v>
      </c>
      <c r="J90">
        <v>266.15948279739598</v>
      </c>
      <c r="K90">
        <v>161.65138821346798</v>
      </c>
      <c r="L90">
        <v>216.13654122156737</v>
      </c>
      <c r="M90">
        <v>238.2383857448167</v>
      </c>
      <c r="N90">
        <v>304.42518951846495</v>
      </c>
      <c r="O90">
        <v>237.51738842952358</v>
      </c>
      <c r="P90">
        <v>207.52054122006629</v>
      </c>
      <c r="Q90">
        <v>329.52838157824721</v>
      </c>
      <c r="R90">
        <v>205.13989769170081</v>
      </c>
      <c r="S90">
        <v>275.08866904576706</v>
      </c>
      <c r="T90" s="8">
        <v>237.69763775834684</v>
      </c>
      <c r="U90" s="8">
        <v>259.91129907190594</v>
      </c>
      <c r="V90" s="8">
        <v>297.09105940029048</v>
      </c>
    </row>
    <row r="91" spans="1:22" x14ac:dyDescent="0.3">
      <c r="A91" t="s">
        <v>343</v>
      </c>
      <c r="B91">
        <f>IF(AND(B90&gt;=237.7,B90&lt;259.9),1,0)</f>
        <v>0</v>
      </c>
      <c r="C91">
        <f t="shared" ref="C91:S91" si="66">IF(AND(C90&gt;=237.7,C90&lt;259.9),1,0)</f>
        <v>0</v>
      </c>
      <c r="D91">
        <f t="shared" si="66"/>
        <v>0</v>
      </c>
      <c r="E91">
        <f t="shared" si="66"/>
        <v>1</v>
      </c>
      <c r="F91">
        <f t="shared" si="66"/>
        <v>1</v>
      </c>
      <c r="G91">
        <f t="shared" si="66"/>
        <v>0</v>
      </c>
      <c r="H91">
        <f t="shared" si="66"/>
        <v>1</v>
      </c>
      <c r="I91">
        <f t="shared" si="66"/>
        <v>0</v>
      </c>
      <c r="J91">
        <f t="shared" si="66"/>
        <v>0</v>
      </c>
      <c r="K91">
        <f t="shared" si="66"/>
        <v>0</v>
      </c>
      <c r="L91">
        <f t="shared" si="66"/>
        <v>0</v>
      </c>
      <c r="M91">
        <f t="shared" si="66"/>
        <v>1</v>
      </c>
      <c r="N91">
        <f t="shared" si="66"/>
        <v>0</v>
      </c>
      <c r="O91">
        <f t="shared" si="66"/>
        <v>0</v>
      </c>
      <c r="P91">
        <f t="shared" si="66"/>
        <v>0</v>
      </c>
      <c r="Q91">
        <f t="shared" si="66"/>
        <v>0</v>
      </c>
      <c r="R91">
        <f t="shared" si="66"/>
        <v>0</v>
      </c>
      <c r="S91">
        <f t="shared" si="66"/>
        <v>0</v>
      </c>
    </row>
    <row r="92" spans="1:22" x14ac:dyDescent="0.3">
      <c r="A92" t="s">
        <v>344</v>
      </c>
      <c r="B92">
        <f>IF(AND(B90&gt;=259.9, B90&lt;297.1),1,0)</f>
        <v>0</v>
      </c>
      <c r="C92">
        <f t="shared" ref="C92:S92" si="67">IF(AND(C90&gt;=259.9, C90&lt;297.1),1,0)</f>
        <v>0</v>
      </c>
      <c r="D92">
        <f t="shared" si="67"/>
        <v>0</v>
      </c>
      <c r="E92">
        <f t="shared" si="67"/>
        <v>0</v>
      </c>
      <c r="F92">
        <f t="shared" si="67"/>
        <v>0</v>
      </c>
      <c r="G92">
        <f t="shared" si="67"/>
        <v>1</v>
      </c>
      <c r="H92">
        <f t="shared" si="67"/>
        <v>0</v>
      </c>
      <c r="I92">
        <f t="shared" si="67"/>
        <v>1</v>
      </c>
      <c r="J92">
        <f t="shared" si="67"/>
        <v>1</v>
      </c>
      <c r="K92">
        <f t="shared" si="67"/>
        <v>0</v>
      </c>
      <c r="L92">
        <f t="shared" si="67"/>
        <v>0</v>
      </c>
      <c r="M92">
        <f t="shared" si="67"/>
        <v>0</v>
      </c>
      <c r="N92">
        <f t="shared" si="67"/>
        <v>0</v>
      </c>
      <c r="O92">
        <f t="shared" si="67"/>
        <v>0</v>
      </c>
      <c r="P92">
        <f t="shared" si="67"/>
        <v>0</v>
      </c>
      <c r="Q92">
        <f t="shared" si="67"/>
        <v>0</v>
      </c>
      <c r="R92">
        <f t="shared" si="67"/>
        <v>0</v>
      </c>
      <c r="S92">
        <f t="shared" si="67"/>
        <v>1</v>
      </c>
    </row>
    <row r="93" spans="1:22" x14ac:dyDescent="0.3">
      <c r="A93" t="s">
        <v>345</v>
      </c>
      <c r="B93">
        <f>IF(B90&gt;=297.1,1,0)</f>
        <v>1</v>
      </c>
      <c r="C93">
        <f t="shared" ref="C93:S93" si="68">IF(C90&gt;=297.1,1,0)</f>
        <v>1</v>
      </c>
      <c r="D93">
        <f t="shared" si="68"/>
        <v>1</v>
      </c>
      <c r="E93">
        <f t="shared" si="68"/>
        <v>0</v>
      </c>
      <c r="F93">
        <f t="shared" si="68"/>
        <v>0</v>
      </c>
      <c r="G93">
        <f t="shared" si="68"/>
        <v>0</v>
      </c>
      <c r="H93">
        <f t="shared" si="68"/>
        <v>0</v>
      </c>
      <c r="I93">
        <f t="shared" si="68"/>
        <v>0</v>
      </c>
      <c r="J93">
        <f t="shared" si="68"/>
        <v>0</v>
      </c>
      <c r="K93">
        <f t="shared" si="68"/>
        <v>0</v>
      </c>
      <c r="L93">
        <f t="shared" si="68"/>
        <v>0</v>
      </c>
      <c r="M93">
        <f t="shared" si="68"/>
        <v>0</v>
      </c>
      <c r="N93">
        <f t="shared" si="68"/>
        <v>1</v>
      </c>
      <c r="O93">
        <f t="shared" si="68"/>
        <v>0</v>
      </c>
      <c r="P93">
        <f t="shared" si="68"/>
        <v>0</v>
      </c>
      <c r="Q93">
        <f t="shared" si="68"/>
        <v>1</v>
      </c>
      <c r="R93">
        <f t="shared" si="68"/>
        <v>0</v>
      </c>
      <c r="S93">
        <f t="shared" si="68"/>
        <v>0</v>
      </c>
    </row>
    <row r="94" spans="1:22" x14ac:dyDescent="0.3">
      <c r="A94" t="s">
        <v>223</v>
      </c>
      <c r="B94">
        <v>-11.902800402283383</v>
      </c>
      <c r="C94">
        <v>-31.371054098738849</v>
      </c>
      <c r="D94">
        <v>77.216823294122705</v>
      </c>
      <c r="E94">
        <v>-4.6692723423982327</v>
      </c>
      <c r="F94">
        <v>-3.3752621005114678</v>
      </c>
      <c r="G94">
        <v>-2.0469703532389008</v>
      </c>
      <c r="H94">
        <v>-2.2480240877667494</v>
      </c>
      <c r="I94">
        <v>-1.5313878113705335</v>
      </c>
      <c r="J94">
        <v>-2.1174509269543518</v>
      </c>
      <c r="K94">
        <v>-3.7167587707251695</v>
      </c>
      <c r="L94">
        <v>-4.1997251595472118</v>
      </c>
      <c r="M94">
        <v>-4.0008578043468379</v>
      </c>
      <c r="N94">
        <v>-4.7578036685188501</v>
      </c>
      <c r="O94">
        <v>-4.6470867865923564</v>
      </c>
      <c r="P94">
        <v>-8.4710189838189489</v>
      </c>
      <c r="Q94">
        <v>-7.9359221459118325</v>
      </c>
      <c r="R94">
        <v>11.802733186689755</v>
      </c>
      <c r="S94">
        <v>-745.87003433055418</v>
      </c>
      <c r="T94" s="8">
        <v>-7.1413925265635871</v>
      </c>
      <c r="U94" s="8">
        <v>-4.1002914819470249</v>
      </c>
      <c r="V94" s="8">
        <v>-2.1500942171574513</v>
      </c>
    </row>
    <row r="95" spans="1:22" x14ac:dyDescent="0.3">
      <c r="A95" t="s">
        <v>346</v>
      </c>
      <c r="B95">
        <f>IF(AND(B94&gt;=-7.14,B94&lt;-4.1),1,0)</f>
        <v>0</v>
      </c>
      <c r="C95">
        <f t="shared" ref="C95:S95" si="69">IF(AND(C94&gt;=-7.14,C94&lt;-4.1),1,0)</f>
        <v>0</v>
      </c>
      <c r="D95">
        <f t="shared" si="69"/>
        <v>0</v>
      </c>
      <c r="E95">
        <f t="shared" si="69"/>
        <v>1</v>
      </c>
      <c r="F95">
        <f t="shared" si="69"/>
        <v>0</v>
      </c>
      <c r="G95">
        <f t="shared" si="69"/>
        <v>0</v>
      </c>
      <c r="H95">
        <f t="shared" si="69"/>
        <v>0</v>
      </c>
      <c r="I95">
        <f t="shared" si="69"/>
        <v>0</v>
      </c>
      <c r="J95">
        <f t="shared" si="69"/>
        <v>0</v>
      </c>
      <c r="K95">
        <f t="shared" si="69"/>
        <v>0</v>
      </c>
      <c r="L95">
        <f t="shared" si="69"/>
        <v>1</v>
      </c>
      <c r="M95">
        <f t="shared" si="69"/>
        <v>0</v>
      </c>
      <c r="N95">
        <f t="shared" si="69"/>
        <v>1</v>
      </c>
      <c r="O95">
        <f t="shared" si="69"/>
        <v>1</v>
      </c>
      <c r="P95">
        <f t="shared" si="69"/>
        <v>0</v>
      </c>
      <c r="Q95">
        <f t="shared" si="69"/>
        <v>0</v>
      </c>
      <c r="R95">
        <f t="shared" si="69"/>
        <v>0</v>
      </c>
      <c r="S95">
        <f t="shared" si="69"/>
        <v>0</v>
      </c>
    </row>
    <row r="96" spans="1:22" x14ac:dyDescent="0.3">
      <c r="A96" t="s">
        <v>347</v>
      </c>
      <c r="B96">
        <f>IF(AND(B94&gt;=-4.1, B94&lt;-2.15),1,0)</f>
        <v>0</v>
      </c>
      <c r="C96">
        <f t="shared" ref="C96:S96" si="70">IF(AND(C94&gt;=-4.1, C94&lt;-2.15),1,0)</f>
        <v>0</v>
      </c>
      <c r="D96">
        <f t="shared" si="70"/>
        <v>0</v>
      </c>
      <c r="E96">
        <f t="shared" si="70"/>
        <v>0</v>
      </c>
      <c r="F96">
        <f t="shared" si="70"/>
        <v>1</v>
      </c>
      <c r="G96">
        <f t="shared" si="70"/>
        <v>0</v>
      </c>
      <c r="H96">
        <f t="shared" si="70"/>
        <v>1</v>
      </c>
      <c r="I96">
        <f t="shared" si="70"/>
        <v>0</v>
      </c>
      <c r="J96">
        <f t="shared" si="70"/>
        <v>0</v>
      </c>
      <c r="K96">
        <f t="shared" si="70"/>
        <v>1</v>
      </c>
      <c r="L96">
        <f t="shared" si="70"/>
        <v>0</v>
      </c>
      <c r="M96">
        <f t="shared" si="70"/>
        <v>1</v>
      </c>
      <c r="N96">
        <f t="shared" si="70"/>
        <v>0</v>
      </c>
      <c r="O96">
        <f t="shared" si="70"/>
        <v>0</v>
      </c>
      <c r="P96">
        <f t="shared" si="70"/>
        <v>0</v>
      </c>
      <c r="Q96">
        <f t="shared" si="70"/>
        <v>0</v>
      </c>
      <c r="R96">
        <f t="shared" si="70"/>
        <v>0</v>
      </c>
      <c r="S96">
        <f t="shared" si="70"/>
        <v>0</v>
      </c>
    </row>
    <row r="97" spans="1:22" x14ac:dyDescent="0.3">
      <c r="A97" t="s">
        <v>348</v>
      </c>
      <c r="B97">
        <f>IF(B94&gt;=-2.15,1,0)</f>
        <v>0</v>
      </c>
      <c r="C97">
        <f t="shared" ref="C97:S97" si="71">IF(C94&gt;=-2.15,1,0)</f>
        <v>0</v>
      </c>
      <c r="D97">
        <f t="shared" si="71"/>
        <v>1</v>
      </c>
      <c r="E97">
        <f t="shared" si="71"/>
        <v>0</v>
      </c>
      <c r="F97">
        <f t="shared" si="71"/>
        <v>0</v>
      </c>
      <c r="G97">
        <f t="shared" si="71"/>
        <v>1</v>
      </c>
      <c r="H97">
        <f t="shared" si="71"/>
        <v>0</v>
      </c>
      <c r="I97">
        <f t="shared" si="71"/>
        <v>1</v>
      </c>
      <c r="J97">
        <f t="shared" si="71"/>
        <v>1</v>
      </c>
      <c r="K97">
        <f t="shared" si="71"/>
        <v>0</v>
      </c>
      <c r="L97">
        <f t="shared" si="71"/>
        <v>0</v>
      </c>
      <c r="M97">
        <f t="shared" si="71"/>
        <v>0</v>
      </c>
      <c r="N97">
        <f t="shared" si="71"/>
        <v>0</v>
      </c>
      <c r="O97">
        <f t="shared" si="71"/>
        <v>0</v>
      </c>
      <c r="P97">
        <f t="shared" si="71"/>
        <v>0</v>
      </c>
      <c r="Q97">
        <f t="shared" si="71"/>
        <v>0</v>
      </c>
      <c r="R97">
        <f t="shared" si="71"/>
        <v>1</v>
      </c>
      <c r="S97">
        <f t="shared" si="71"/>
        <v>0</v>
      </c>
    </row>
    <row r="98" spans="1:22" x14ac:dyDescent="0.3">
      <c r="A98" t="s">
        <v>224</v>
      </c>
      <c r="B98">
        <v>0.25138361898370415</v>
      </c>
      <c r="C98">
        <v>0.3413035497948963</v>
      </c>
      <c r="D98">
        <v>0.34522664362643163</v>
      </c>
      <c r="E98">
        <v>0.46354010431917891</v>
      </c>
      <c r="F98">
        <v>0.28987766658615866</v>
      </c>
      <c r="G98">
        <v>0.14225705805779093</v>
      </c>
      <c r="H98">
        <v>0.29751230587124272</v>
      </c>
      <c r="I98">
        <v>0.2809768064153228</v>
      </c>
      <c r="J98">
        <v>0.65997310457039016</v>
      </c>
      <c r="K98">
        <v>0.14550113474742751</v>
      </c>
      <c r="L98">
        <v>0.17783162387840942</v>
      </c>
      <c r="M98">
        <v>0.27049438461776809</v>
      </c>
      <c r="N98">
        <v>0.26160841198852458</v>
      </c>
      <c r="O98">
        <v>0.30493408316751019</v>
      </c>
      <c r="P98">
        <v>0.54890134111138933</v>
      </c>
      <c r="Q98">
        <v>0.11130483783367966</v>
      </c>
      <c r="R98">
        <v>0.16609911744738629</v>
      </c>
      <c r="S98">
        <v>6.9936277273646028E-2</v>
      </c>
      <c r="T98" s="8">
        <v>0.16903224405514206</v>
      </c>
      <c r="U98" s="8">
        <v>0.27573559551654547</v>
      </c>
      <c r="V98" s="8">
        <v>0.33221118313804976</v>
      </c>
    </row>
    <row r="99" spans="1:22" x14ac:dyDescent="0.3">
      <c r="A99" t="s">
        <v>349</v>
      </c>
      <c r="B99">
        <f>IF(AND(B98&gt;=0.169,B98&lt;0.2757),1,0)</f>
        <v>1</v>
      </c>
      <c r="C99">
        <f t="shared" ref="C99:S99" si="72">IF(AND(C98&gt;=0.169,C98&lt;0.2757),1,0)</f>
        <v>0</v>
      </c>
      <c r="D99">
        <f t="shared" si="72"/>
        <v>0</v>
      </c>
      <c r="E99">
        <f t="shared" si="72"/>
        <v>0</v>
      </c>
      <c r="F99">
        <f t="shared" si="72"/>
        <v>0</v>
      </c>
      <c r="G99">
        <f t="shared" si="72"/>
        <v>0</v>
      </c>
      <c r="H99">
        <f t="shared" si="72"/>
        <v>0</v>
      </c>
      <c r="I99">
        <f t="shared" si="72"/>
        <v>0</v>
      </c>
      <c r="J99">
        <f t="shared" si="72"/>
        <v>0</v>
      </c>
      <c r="K99">
        <f t="shared" si="72"/>
        <v>0</v>
      </c>
      <c r="L99">
        <f t="shared" si="72"/>
        <v>1</v>
      </c>
      <c r="M99">
        <f t="shared" si="72"/>
        <v>1</v>
      </c>
      <c r="N99">
        <f t="shared" si="72"/>
        <v>1</v>
      </c>
      <c r="O99">
        <f t="shared" si="72"/>
        <v>0</v>
      </c>
      <c r="P99">
        <f t="shared" si="72"/>
        <v>0</v>
      </c>
      <c r="Q99">
        <f t="shared" si="72"/>
        <v>0</v>
      </c>
      <c r="R99">
        <f t="shared" si="72"/>
        <v>0</v>
      </c>
      <c r="S99">
        <f t="shared" si="72"/>
        <v>0</v>
      </c>
    </row>
    <row r="100" spans="1:22" x14ac:dyDescent="0.3">
      <c r="A100" t="s">
        <v>350</v>
      </c>
      <c r="B100">
        <f>IF(AND(B98&gt;=0.2757, B98&lt;0.3322),1,0)</f>
        <v>0</v>
      </c>
      <c r="C100">
        <f t="shared" ref="C100:S100" si="73">IF(AND(C98&gt;=0.2757, C98&lt;0.3322),1,0)</f>
        <v>0</v>
      </c>
      <c r="D100">
        <f t="shared" si="73"/>
        <v>0</v>
      </c>
      <c r="E100">
        <f t="shared" si="73"/>
        <v>0</v>
      </c>
      <c r="F100">
        <f t="shared" si="73"/>
        <v>1</v>
      </c>
      <c r="G100">
        <f t="shared" si="73"/>
        <v>0</v>
      </c>
      <c r="H100">
        <f t="shared" si="73"/>
        <v>1</v>
      </c>
      <c r="I100">
        <f t="shared" si="73"/>
        <v>1</v>
      </c>
      <c r="J100">
        <f t="shared" si="73"/>
        <v>0</v>
      </c>
      <c r="K100">
        <f t="shared" si="73"/>
        <v>0</v>
      </c>
      <c r="L100">
        <f t="shared" si="73"/>
        <v>0</v>
      </c>
      <c r="M100">
        <f t="shared" si="73"/>
        <v>0</v>
      </c>
      <c r="N100">
        <f t="shared" si="73"/>
        <v>0</v>
      </c>
      <c r="O100">
        <f t="shared" si="73"/>
        <v>1</v>
      </c>
      <c r="P100">
        <f t="shared" si="73"/>
        <v>0</v>
      </c>
      <c r="Q100">
        <f t="shared" si="73"/>
        <v>0</v>
      </c>
      <c r="R100">
        <f t="shared" si="73"/>
        <v>0</v>
      </c>
      <c r="S100">
        <f t="shared" si="73"/>
        <v>0</v>
      </c>
    </row>
    <row r="101" spans="1:22" x14ac:dyDescent="0.3">
      <c r="A101" t="s">
        <v>351</v>
      </c>
      <c r="B101">
        <f>IF(B98&gt;=0.3322,1,0)</f>
        <v>0</v>
      </c>
      <c r="C101">
        <f t="shared" ref="C101:S101" si="74">IF(C98&gt;=0.3322,1,0)</f>
        <v>1</v>
      </c>
      <c r="D101">
        <f t="shared" si="74"/>
        <v>1</v>
      </c>
      <c r="E101">
        <f t="shared" si="74"/>
        <v>1</v>
      </c>
      <c r="F101">
        <f t="shared" si="74"/>
        <v>0</v>
      </c>
      <c r="G101">
        <f t="shared" si="74"/>
        <v>0</v>
      </c>
      <c r="H101">
        <f t="shared" si="74"/>
        <v>0</v>
      </c>
      <c r="I101">
        <f t="shared" si="74"/>
        <v>0</v>
      </c>
      <c r="J101">
        <f t="shared" si="74"/>
        <v>1</v>
      </c>
      <c r="K101">
        <f t="shared" si="74"/>
        <v>0</v>
      </c>
      <c r="L101">
        <f t="shared" si="74"/>
        <v>0</v>
      </c>
      <c r="M101">
        <f t="shared" si="74"/>
        <v>0</v>
      </c>
      <c r="N101">
        <f t="shared" si="74"/>
        <v>0</v>
      </c>
      <c r="O101">
        <f t="shared" si="74"/>
        <v>0</v>
      </c>
      <c r="P101">
        <f t="shared" si="74"/>
        <v>1</v>
      </c>
      <c r="Q101">
        <f t="shared" si="74"/>
        <v>0</v>
      </c>
      <c r="R101">
        <f t="shared" si="74"/>
        <v>0</v>
      </c>
      <c r="S101">
        <f t="shared" si="74"/>
        <v>0</v>
      </c>
    </row>
    <row r="102" spans="1:22" x14ac:dyDescent="0.3">
      <c r="A102" t="s">
        <v>225</v>
      </c>
      <c r="B102">
        <v>-0.10984284687104762</v>
      </c>
      <c r="C102">
        <v>-4.0226646092941756E-2</v>
      </c>
      <c r="D102">
        <v>1.7249146695644611E-2</v>
      </c>
      <c r="E102">
        <v>-0.21041008722738416</v>
      </c>
      <c r="F102">
        <v>-0.3331095525108112</v>
      </c>
      <c r="G102">
        <v>-0.46401722876844659</v>
      </c>
      <c r="H102">
        <v>-0.42132553211935819</v>
      </c>
      <c r="I102">
        <v>-0.49861379322887162</v>
      </c>
      <c r="J102">
        <v>-0.3983722086671575</v>
      </c>
      <c r="K102">
        <v>-0.29075741848883946</v>
      </c>
      <c r="L102">
        <v>-0.37105339700507578</v>
      </c>
      <c r="M102">
        <v>-0.3408626601548691</v>
      </c>
      <c r="N102">
        <v>-0.22485692022462853</v>
      </c>
      <c r="O102">
        <v>-0.27718435183945811</v>
      </c>
      <c r="P102">
        <v>-1.2426162924737933</v>
      </c>
      <c r="Q102">
        <v>-2.5593014607136215</v>
      </c>
      <c r="R102">
        <v>1.4998596097150076</v>
      </c>
      <c r="S102">
        <v>-7.2281895848842568E-3</v>
      </c>
      <c r="T102" s="8">
        <v>-0.41558720125630799</v>
      </c>
      <c r="U102" s="8">
        <v>-0.31193348549982536</v>
      </c>
      <c r="V102" s="8">
        <v>-0.13498465696013176</v>
      </c>
    </row>
    <row r="103" spans="1:22" x14ac:dyDescent="0.3">
      <c r="A103" t="s">
        <v>352</v>
      </c>
      <c r="B103">
        <f>IF(AND(B102&gt;=-0.416, B102&lt;-0.312),1,0)</f>
        <v>0</v>
      </c>
      <c r="C103">
        <f t="shared" ref="C103:S103" si="75">IF(AND(C102&gt;=-0.416, C102&lt;-0.312),1,0)</f>
        <v>0</v>
      </c>
      <c r="D103">
        <f t="shared" si="75"/>
        <v>0</v>
      </c>
      <c r="E103">
        <f t="shared" si="75"/>
        <v>0</v>
      </c>
      <c r="F103">
        <f t="shared" si="75"/>
        <v>1</v>
      </c>
      <c r="G103">
        <f t="shared" si="75"/>
        <v>0</v>
      </c>
      <c r="H103">
        <f t="shared" si="75"/>
        <v>0</v>
      </c>
      <c r="I103">
        <f t="shared" si="75"/>
        <v>0</v>
      </c>
      <c r="J103">
        <f t="shared" si="75"/>
        <v>1</v>
      </c>
      <c r="K103">
        <f t="shared" si="75"/>
        <v>0</v>
      </c>
      <c r="L103">
        <f t="shared" si="75"/>
        <v>1</v>
      </c>
      <c r="M103">
        <f t="shared" si="75"/>
        <v>1</v>
      </c>
      <c r="N103">
        <f t="shared" si="75"/>
        <v>0</v>
      </c>
      <c r="O103">
        <f t="shared" si="75"/>
        <v>0</v>
      </c>
      <c r="P103">
        <f t="shared" si="75"/>
        <v>0</v>
      </c>
      <c r="Q103">
        <f t="shared" si="75"/>
        <v>0</v>
      </c>
      <c r="R103">
        <f t="shared" si="75"/>
        <v>0</v>
      </c>
      <c r="S103">
        <f t="shared" si="75"/>
        <v>0</v>
      </c>
    </row>
    <row r="104" spans="1:22" x14ac:dyDescent="0.3">
      <c r="A104" t="s">
        <v>353</v>
      </c>
      <c r="B104">
        <f>IF(AND(B102&gt;=-0.312, B102&lt;-0.135),1,0)</f>
        <v>0</v>
      </c>
      <c r="C104">
        <f t="shared" ref="C104:S104" si="76">IF(AND(C102&gt;=-0.312, C102&lt;-0.135),1,0)</f>
        <v>0</v>
      </c>
      <c r="D104">
        <f t="shared" si="76"/>
        <v>0</v>
      </c>
      <c r="E104">
        <f t="shared" si="76"/>
        <v>1</v>
      </c>
      <c r="F104">
        <f t="shared" si="76"/>
        <v>0</v>
      </c>
      <c r="G104">
        <f t="shared" si="76"/>
        <v>0</v>
      </c>
      <c r="H104">
        <f t="shared" si="76"/>
        <v>0</v>
      </c>
      <c r="I104">
        <f t="shared" si="76"/>
        <v>0</v>
      </c>
      <c r="J104">
        <f t="shared" si="76"/>
        <v>0</v>
      </c>
      <c r="K104">
        <f t="shared" si="76"/>
        <v>1</v>
      </c>
      <c r="L104">
        <f t="shared" si="76"/>
        <v>0</v>
      </c>
      <c r="M104">
        <f t="shared" si="76"/>
        <v>0</v>
      </c>
      <c r="N104">
        <f t="shared" si="76"/>
        <v>1</v>
      </c>
      <c r="O104">
        <f t="shared" si="76"/>
        <v>1</v>
      </c>
      <c r="P104">
        <f t="shared" si="76"/>
        <v>0</v>
      </c>
      <c r="Q104">
        <f t="shared" si="76"/>
        <v>0</v>
      </c>
      <c r="R104">
        <f t="shared" si="76"/>
        <v>0</v>
      </c>
      <c r="S104">
        <f t="shared" si="76"/>
        <v>0</v>
      </c>
    </row>
    <row r="105" spans="1:22" x14ac:dyDescent="0.3">
      <c r="A105" t="s">
        <v>354</v>
      </c>
      <c r="B105">
        <f>IF(B102&gt;=-0.135,1,0)</f>
        <v>1</v>
      </c>
      <c r="C105">
        <f t="shared" ref="C105:S105" si="77">IF(C102&gt;=-0.135,1,0)</f>
        <v>1</v>
      </c>
      <c r="D105">
        <f t="shared" si="77"/>
        <v>1</v>
      </c>
      <c r="E105">
        <f t="shared" si="77"/>
        <v>0</v>
      </c>
      <c r="F105">
        <f t="shared" si="77"/>
        <v>0</v>
      </c>
      <c r="G105">
        <f t="shared" si="77"/>
        <v>0</v>
      </c>
      <c r="H105">
        <f t="shared" si="77"/>
        <v>0</v>
      </c>
      <c r="I105">
        <f t="shared" si="77"/>
        <v>0</v>
      </c>
      <c r="J105">
        <f t="shared" si="77"/>
        <v>0</v>
      </c>
      <c r="K105">
        <f t="shared" si="77"/>
        <v>0</v>
      </c>
      <c r="L105">
        <f t="shared" si="77"/>
        <v>0</v>
      </c>
      <c r="M105">
        <f t="shared" si="77"/>
        <v>0</v>
      </c>
      <c r="N105">
        <f t="shared" si="77"/>
        <v>0</v>
      </c>
      <c r="O105">
        <f t="shared" si="77"/>
        <v>0</v>
      </c>
      <c r="P105">
        <f t="shared" si="77"/>
        <v>0</v>
      </c>
      <c r="Q105">
        <f t="shared" si="77"/>
        <v>0</v>
      </c>
      <c r="R105">
        <f t="shared" si="77"/>
        <v>1</v>
      </c>
      <c r="S105">
        <f t="shared" si="77"/>
        <v>1</v>
      </c>
    </row>
    <row r="106" spans="1:22" x14ac:dyDescent="0.3">
      <c r="A106" t="s">
        <v>226</v>
      </c>
      <c r="B106">
        <v>0.22038837756551924</v>
      </c>
      <c r="C106">
        <v>0.29625921695146007</v>
      </c>
      <c r="D106">
        <v>6.2273609924745177E-2</v>
      </c>
      <c r="E106">
        <v>5.6824103132702843E-2</v>
      </c>
      <c r="F106">
        <v>2.5091780058684593E-2</v>
      </c>
      <c r="G106">
        <v>0.13317823907822643</v>
      </c>
      <c r="H106">
        <v>-4.1934994034491482E-2</v>
      </c>
      <c r="I106">
        <v>0.3045462067209776</v>
      </c>
      <c r="J106">
        <v>0.3365376713934492</v>
      </c>
      <c r="K106">
        <v>0.23983730030108466</v>
      </c>
      <c r="L106">
        <v>0.53356672845944286</v>
      </c>
      <c r="M106">
        <v>0.56813999378887647</v>
      </c>
      <c r="N106">
        <v>0.26965304592217904</v>
      </c>
      <c r="O106">
        <v>0.45051556019680011</v>
      </c>
      <c r="P106">
        <v>2.8258816972226835</v>
      </c>
      <c r="Q106">
        <v>3.0444650690599229</v>
      </c>
      <c r="R106">
        <v>2.0914737022633894</v>
      </c>
      <c r="S106">
        <v>4.5478976744973929</v>
      </c>
      <c r="T106" s="8">
        <v>0.15498077370004965</v>
      </c>
      <c r="U106" s="8">
        <v>0.30040271183621881</v>
      </c>
      <c r="V106" s="8">
        <v>0.5594966774565181</v>
      </c>
    </row>
    <row r="107" spans="1:22" x14ac:dyDescent="0.3">
      <c r="A107" t="s">
        <v>355</v>
      </c>
      <c r="B107">
        <f>IF(AND(B106&gt;=0.155, B106&lt;0.3),1,0)</f>
        <v>1</v>
      </c>
      <c r="C107">
        <f t="shared" ref="C107:S107" si="78">IF(AND(C106&gt;=0.155, C106&lt;0.3),1,0)</f>
        <v>1</v>
      </c>
      <c r="D107">
        <f t="shared" si="78"/>
        <v>0</v>
      </c>
      <c r="E107">
        <f t="shared" si="78"/>
        <v>0</v>
      </c>
      <c r="F107">
        <f t="shared" si="78"/>
        <v>0</v>
      </c>
      <c r="G107">
        <f t="shared" si="78"/>
        <v>0</v>
      </c>
      <c r="H107">
        <f t="shared" si="78"/>
        <v>0</v>
      </c>
      <c r="I107">
        <f t="shared" si="78"/>
        <v>0</v>
      </c>
      <c r="J107">
        <f t="shared" si="78"/>
        <v>0</v>
      </c>
      <c r="K107">
        <f t="shared" si="78"/>
        <v>1</v>
      </c>
      <c r="L107">
        <f t="shared" si="78"/>
        <v>0</v>
      </c>
      <c r="M107">
        <f t="shared" si="78"/>
        <v>0</v>
      </c>
      <c r="N107">
        <f t="shared" si="78"/>
        <v>1</v>
      </c>
      <c r="O107">
        <f t="shared" si="78"/>
        <v>0</v>
      </c>
      <c r="P107">
        <f t="shared" si="78"/>
        <v>0</v>
      </c>
      <c r="Q107">
        <f t="shared" si="78"/>
        <v>0</v>
      </c>
      <c r="R107">
        <f t="shared" si="78"/>
        <v>0</v>
      </c>
      <c r="S107">
        <f t="shared" si="78"/>
        <v>0</v>
      </c>
    </row>
    <row r="108" spans="1:22" x14ac:dyDescent="0.3">
      <c r="A108" t="s">
        <v>356</v>
      </c>
      <c r="B108">
        <f>IF(AND(B106&gt;=0.3, B106&lt;0.5595),1,0)</f>
        <v>0</v>
      </c>
      <c r="C108">
        <f t="shared" ref="C108:S108" si="79">IF(AND(C106&gt;=0.3, C106&lt;0.5595),1,0)</f>
        <v>0</v>
      </c>
      <c r="D108">
        <f t="shared" si="79"/>
        <v>0</v>
      </c>
      <c r="E108">
        <f t="shared" si="79"/>
        <v>0</v>
      </c>
      <c r="F108">
        <f t="shared" si="79"/>
        <v>0</v>
      </c>
      <c r="G108">
        <f t="shared" si="79"/>
        <v>0</v>
      </c>
      <c r="H108">
        <f t="shared" si="79"/>
        <v>0</v>
      </c>
      <c r="I108">
        <f t="shared" si="79"/>
        <v>1</v>
      </c>
      <c r="J108">
        <f t="shared" si="79"/>
        <v>1</v>
      </c>
      <c r="K108">
        <f t="shared" si="79"/>
        <v>0</v>
      </c>
      <c r="L108">
        <f t="shared" si="79"/>
        <v>1</v>
      </c>
      <c r="M108">
        <f t="shared" si="79"/>
        <v>0</v>
      </c>
      <c r="N108">
        <f t="shared" si="79"/>
        <v>0</v>
      </c>
      <c r="O108">
        <f t="shared" si="79"/>
        <v>1</v>
      </c>
      <c r="P108">
        <f t="shared" si="79"/>
        <v>0</v>
      </c>
      <c r="Q108">
        <f t="shared" si="79"/>
        <v>0</v>
      </c>
      <c r="R108">
        <f t="shared" si="79"/>
        <v>0</v>
      </c>
      <c r="S108">
        <f t="shared" si="79"/>
        <v>0</v>
      </c>
    </row>
    <row r="109" spans="1:22" x14ac:dyDescent="0.3">
      <c r="A109" t="s">
        <v>357</v>
      </c>
      <c r="B109">
        <f>IF(B106&gt;=0.5595,1,0)</f>
        <v>0</v>
      </c>
      <c r="C109">
        <f t="shared" ref="C109:S109" si="80">IF(C106&gt;=0.5595,1,0)</f>
        <v>0</v>
      </c>
      <c r="D109">
        <f t="shared" si="80"/>
        <v>0</v>
      </c>
      <c r="E109">
        <f t="shared" si="80"/>
        <v>0</v>
      </c>
      <c r="F109">
        <f t="shared" si="80"/>
        <v>0</v>
      </c>
      <c r="G109">
        <f t="shared" si="80"/>
        <v>0</v>
      </c>
      <c r="H109">
        <f t="shared" si="80"/>
        <v>0</v>
      </c>
      <c r="I109">
        <f t="shared" si="80"/>
        <v>0</v>
      </c>
      <c r="J109">
        <f t="shared" si="80"/>
        <v>0</v>
      </c>
      <c r="K109">
        <f t="shared" si="80"/>
        <v>0</v>
      </c>
      <c r="L109">
        <f t="shared" si="80"/>
        <v>0</v>
      </c>
      <c r="M109">
        <f t="shared" si="80"/>
        <v>1</v>
      </c>
      <c r="N109">
        <f t="shared" si="80"/>
        <v>0</v>
      </c>
      <c r="O109">
        <f t="shared" si="80"/>
        <v>0</v>
      </c>
      <c r="P109">
        <f t="shared" si="80"/>
        <v>1</v>
      </c>
      <c r="Q109">
        <f t="shared" si="80"/>
        <v>1</v>
      </c>
      <c r="R109">
        <f t="shared" si="80"/>
        <v>1</v>
      </c>
      <c r="S109">
        <f t="shared" si="80"/>
        <v>1</v>
      </c>
    </row>
    <row r="110" spans="1:22" x14ac:dyDescent="0.3">
      <c r="A110" t="s">
        <v>227</v>
      </c>
      <c r="B110">
        <v>1.3407099060404397</v>
      </c>
      <c r="C110">
        <v>1.2640151189460891</v>
      </c>
      <c r="D110">
        <v>1.4708870093122</v>
      </c>
      <c r="E110">
        <v>1.5289431188779539</v>
      </c>
      <c r="F110">
        <v>1.551711788438416</v>
      </c>
      <c r="G110">
        <v>1.4133770100274292</v>
      </c>
      <c r="H110">
        <v>1.5335518010255669</v>
      </c>
      <c r="I110">
        <v>1.5241844077477231</v>
      </c>
      <c r="J110">
        <v>1.6701402819157836</v>
      </c>
      <c r="K110">
        <v>1.6993623380552563</v>
      </c>
      <c r="L110">
        <v>1.9555761579893354</v>
      </c>
      <c r="M110">
        <v>1.9561557402729435</v>
      </c>
      <c r="N110">
        <v>1.3944902203477567</v>
      </c>
      <c r="O110">
        <v>1.8860088790804725</v>
      </c>
      <c r="P110">
        <v>1.9116769434364158</v>
      </c>
      <c r="Q110">
        <v>1.7858162109529341</v>
      </c>
      <c r="R110">
        <v>1.126323946146683</v>
      </c>
      <c r="S110">
        <v>1.2965587031591079</v>
      </c>
      <c r="T110" s="8">
        <v>1.399211917767675</v>
      </c>
      <c r="U110" s="8">
        <v>1.5312474599517603</v>
      </c>
      <c r="V110" s="8">
        <v>1.7642027427285147</v>
      </c>
    </row>
    <row r="111" spans="1:22" x14ac:dyDescent="0.3">
      <c r="A111" t="s">
        <v>358</v>
      </c>
      <c r="B111">
        <f>IF(AND(B110&gt;=1.399, B110&lt;1.53),1,0)</f>
        <v>0</v>
      </c>
      <c r="C111">
        <f t="shared" ref="C111:S111" si="81">IF(AND(C110&gt;=1.399, C110&lt;1.53),1,0)</f>
        <v>0</v>
      </c>
      <c r="D111">
        <f t="shared" si="81"/>
        <v>1</v>
      </c>
      <c r="E111">
        <f t="shared" si="81"/>
        <v>1</v>
      </c>
      <c r="F111">
        <f t="shared" si="81"/>
        <v>0</v>
      </c>
      <c r="G111">
        <f t="shared" si="81"/>
        <v>1</v>
      </c>
      <c r="H111">
        <f t="shared" si="81"/>
        <v>0</v>
      </c>
      <c r="I111">
        <f t="shared" si="81"/>
        <v>1</v>
      </c>
      <c r="J111">
        <f t="shared" si="81"/>
        <v>0</v>
      </c>
      <c r="K111">
        <f t="shared" si="81"/>
        <v>0</v>
      </c>
      <c r="L111">
        <f t="shared" si="81"/>
        <v>0</v>
      </c>
      <c r="M111">
        <f t="shared" si="81"/>
        <v>0</v>
      </c>
      <c r="N111">
        <f t="shared" si="81"/>
        <v>0</v>
      </c>
      <c r="O111">
        <f t="shared" si="81"/>
        <v>0</v>
      </c>
      <c r="P111">
        <f t="shared" si="81"/>
        <v>0</v>
      </c>
      <c r="Q111">
        <f t="shared" si="81"/>
        <v>0</v>
      </c>
      <c r="R111">
        <f t="shared" si="81"/>
        <v>0</v>
      </c>
      <c r="S111">
        <f t="shared" si="81"/>
        <v>0</v>
      </c>
    </row>
    <row r="112" spans="1:22" x14ac:dyDescent="0.3">
      <c r="A112" t="s">
        <v>359</v>
      </c>
      <c r="B112">
        <f>IF(AND(B110&gt;=1.53, B110&lt;1.764),1,0)</f>
        <v>0</v>
      </c>
      <c r="C112">
        <f t="shared" ref="C112:S112" si="82">IF(AND(C110&gt;=1.53, C110&lt;1.764),1,0)</f>
        <v>0</v>
      </c>
      <c r="D112">
        <f t="shared" si="82"/>
        <v>0</v>
      </c>
      <c r="E112">
        <f t="shared" si="82"/>
        <v>0</v>
      </c>
      <c r="F112">
        <f t="shared" si="82"/>
        <v>1</v>
      </c>
      <c r="G112">
        <f t="shared" si="82"/>
        <v>0</v>
      </c>
      <c r="H112">
        <f t="shared" si="82"/>
        <v>1</v>
      </c>
      <c r="I112">
        <f t="shared" si="82"/>
        <v>0</v>
      </c>
      <c r="J112">
        <f t="shared" si="82"/>
        <v>1</v>
      </c>
      <c r="K112">
        <f t="shared" si="82"/>
        <v>1</v>
      </c>
      <c r="L112">
        <f t="shared" si="82"/>
        <v>0</v>
      </c>
      <c r="M112">
        <f t="shared" si="82"/>
        <v>0</v>
      </c>
      <c r="N112">
        <f t="shared" si="82"/>
        <v>0</v>
      </c>
      <c r="O112">
        <f t="shared" si="82"/>
        <v>0</v>
      </c>
      <c r="P112">
        <f t="shared" si="82"/>
        <v>0</v>
      </c>
      <c r="Q112">
        <f t="shared" si="82"/>
        <v>0</v>
      </c>
      <c r="R112">
        <f t="shared" si="82"/>
        <v>0</v>
      </c>
      <c r="S112">
        <f t="shared" si="82"/>
        <v>0</v>
      </c>
    </row>
    <row r="113" spans="1:22" x14ac:dyDescent="0.3">
      <c r="A113" t="s">
        <v>360</v>
      </c>
      <c r="B113">
        <f>IF(B110&gt;=1.764,1,0)</f>
        <v>0</v>
      </c>
      <c r="C113">
        <f t="shared" ref="C113:S113" si="83">IF(C110&gt;=1.764,1,0)</f>
        <v>0</v>
      </c>
      <c r="D113">
        <f t="shared" si="83"/>
        <v>0</v>
      </c>
      <c r="E113">
        <f t="shared" si="83"/>
        <v>0</v>
      </c>
      <c r="F113">
        <f t="shared" si="83"/>
        <v>0</v>
      </c>
      <c r="G113">
        <f t="shared" si="83"/>
        <v>0</v>
      </c>
      <c r="H113">
        <f t="shared" si="83"/>
        <v>0</v>
      </c>
      <c r="I113">
        <f t="shared" si="83"/>
        <v>0</v>
      </c>
      <c r="J113">
        <f t="shared" si="83"/>
        <v>0</v>
      </c>
      <c r="K113">
        <f t="shared" si="83"/>
        <v>0</v>
      </c>
      <c r="L113">
        <f t="shared" si="83"/>
        <v>1</v>
      </c>
      <c r="M113">
        <f t="shared" si="83"/>
        <v>1</v>
      </c>
      <c r="N113">
        <f t="shared" si="83"/>
        <v>0</v>
      </c>
      <c r="O113">
        <f t="shared" si="83"/>
        <v>1</v>
      </c>
      <c r="P113">
        <f t="shared" si="83"/>
        <v>1</v>
      </c>
      <c r="Q113">
        <f t="shared" si="83"/>
        <v>1</v>
      </c>
      <c r="R113">
        <f t="shared" si="83"/>
        <v>0</v>
      </c>
      <c r="S113">
        <f t="shared" si="83"/>
        <v>0</v>
      </c>
    </row>
    <row r="114" spans="1:22" x14ac:dyDescent="0.3">
      <c r="A114" t="s">
        <v>228</v>
      </c>
      <c r="B114">
        <v>0.2796990150919253</v>
      </c>
      <c r="C114">
        <v>0.35505548958413213</v>
      </c>
      <c r="D114">
        <v>0.33865049397774205</v>
      </c>
      <c r="E114">
        <v>0.61532530784807848</v>
      </c>
      <c r="F114">
        <v>0.42314334464375364</v>
      </c>
      <c r="G114">
        <v>0.24048166353626266</v>
      </c>
      <c r="H114">
        <v>0.50046855308359617</v>
      </c>
      <c r="I114">
        <v>0.56063194281980333</v>
      </c>
      <c r="J114">
        <v>1.1805271598700098</v>
      </c>
      <c r="K114">
        <v>0.21202661132169523</v>
      </c>
      <c r="L114">
        <v>0.26063782442288463</v>
      </c>
      <c r="M114">
        <v>0.40274830841549919</v>
      </c>
      <c r="N114">
        <v>0.33828462595097952</v>
      </c>
      <c r="O114">
        <v>0.42869083977629013</v>
      </c>
      <c r="P114">
        <v>0.67277333809644502</v>
      </c>
      <c r="Q114">
        <v>0.13635170448713699</v>
      </c>
      <c r="R114">
        <v>0.15024843180909719</v>
      </c>
      <c r="S114">
        <v>7.0057848706726961E-2</v>
      </c>
      <c r="T114" s="8">
        <v>0.24552070375791815</v>
      </c>
      <c r="U114" s="8">
        <v>0.34685299178093709</v>
      </c>
      <c r="V114" s="8">
        <v>0.48252412475676965</v>
      </c>
    </row>
    <row r="115" spans="1:22" x14ac:dyDescent="0.3">
      <c r="A115" t="s">
        <v>361</v>
      </c>
      <c r="B115">
        <f>IF(AND(B114&gt;=0.2455, B114&lt;0.3469),1,0)</f>
        <v>1</v>
      </c>
      <c r="C115">
        <f t="shared" ref="C115:S115" si="84">IF(AND(C114&gt;=0.2455, C114&lt;0.3469),1,0)</f>
        <v>0</v>
      </c>
      <c r="D115">
        <f t="shared" si="84"/>
        <v>1</v>
      </c>
      <c r="E115">
        <f t="shared" si="84"/>
        <v>0</v>
      </c>
      <c r="F115">
        <f t="shared" si="84"/>
        <v>0</v>
      </c>
      <c r="G115">
        <f t="shared" si="84"/>
        <v>0</v>
      </c>
      <c r="H115">
        <f t="shared" si="84"/>
        <v>0</v>
      </c>
      <c r="I115">
        <f t="shared" si="84"/>
        <v>0</v>
      </c>
      <c r="J115">
        <f t="shared" si="84"/>
        <v>0</v>
      </c>
      <c r="K115">
        <f t="shared" si="84"/>
        <v>0</v>
      </c>
      <c r="L115">
        <f t="shared" si="84"/>
        <v>1</v>
      </c>
      <c r="M115">
        <f t="shared" si="84"/>
        <v>0</v>
      </c>
      <c r="N115">
        <f t="shared" si="84"/>
        <v>1</v>
      </c>
      <c r="O115">
        <f t="shared" si="84"/>
        <v>0</v>
      </c>
      <c r="P115">
        <f t="shared" si="84"/>
        <v>0</v>
      </c>
      <c r="Q115">
        <f t="shared" si="84"/>
        <v>0</v>
      </c>
      <c r="R115">
        <f t="shared" si="84"/>
        <v>0</v>
      </c>
      <c r="S115">
        <f t="shared" si="84"/>
        <v>0</v>
      </c>
    </row>
    <row r="116" spans="1:22" x14ac:dyDescent="0.3">
      <c r="A116" t="s">
        <v>362</v>
      </c>
      <c r="B116">
        <f>IF(AND(B114&gt;=0.3469, B114&lt;0.4825),1,0)</f>
        <v>0</v>
      </c>
      <c r="C116">
        <f t="shared" ref="C116:S116" si="85">IF(AND(C114&gt;=0.3469, C114&lt;0.4825),1,0)</f>
        <v>1</v>
      </c>
      <c r="D116">
        <f t="shared" si="85"/>
        <v>0</v>
      </c>
      <c r="E116">
        <f t="shared" si="85"/>
        <v>0</v>
      </c>
      <c r="F116">
        <f t="shared" si="85"/>
        <v>1</v>
      </c>
      <c r="G116">
        <f t="shared" si="85"/>
        <v>0</v>
      </c>
      <c r="H116">
        <f t="shared" si="85"/>
        <v>0</v>
      </c>
      <c r="I116">
        <f t="shared" si="85"/>
        <v>0</v>
      </c>
      <c r="J116">
        <f t="shared" si="85"/>
        <v>0</v>
      </c>
      <c r="K116">
        <f t="shared" si="85"/>
        <v>0</v>
      </c>
      <c r="L116">
        <f t="shared" si="85"/>
        <v>0</v>
      </c>
      <c r="M116">
        <f t="shared" si="85"/>
        <v>1</v>
      </c>
      <c r="N116">
        <f t="shared" si="85"/>
        <v>0</v>
      </c>
      <c r="O116">
        <f t="shared" si="85"/>
        <v>1</v>
      </c>
      <c r="P116">
        <f t="shared" si="85"/>
        <v>0</v>
      </c>
      <c r="Q116">
        <f t="shared" si="85"/>
        <v>0</v>
      </c>
      <c r="R116">
        <f t="shared" si="85"/>
        <v>0</v>
      </c>
      <c r="S116">
        <f t="shared" si="85"/>
        <v>0</v>
      </c>
    </row>
    <row r="117" spans="1:22" x14ac:dyDescent="0.3">
      <c r="A117" t="s">
        <v>363</v>
      </c>
      <c r="B117">
        <f>IF(B114&gt;=0.4825,1,0)</f>
        <v>0</v>
      </c>
      <c r="C117">
        <f t="shared" ref="C117:S117" si="86">IF(C114&gt;=0.4825,1,0)</f>
        <v>0</v>
      </c>
      <c r="D117">
        <f t="shared" si="86"/>
        <v>0</v>
      </c>
      <c r="E117">
        <f t="shared" si="86"/>
        <v>1</v>
      </c>
      <c r="F117">
        <f t="shared" si="86"/>
        <v>0</v>
      </c>
      <c r="G117">
        <f t="shared" si="86"/>
        <v>0</v>
      </c>
      <c r="H117">
        <f t="shared" si="86"/>
        <v>1</v>
      </c>
      <c r="I117">
        <f t="shared" si="86"/>
        <v>1</v>
      </c>
      <c r="J117">
        <f t="shared" si="86"/>
        <v>1</v>
      </c>
      <c r="K117">
        <f t="shared" si="86"/>
        <v>0</v>
      </c>
      <c r="L117">
        <f t="shared" si="86"/>
        <v>0</v>
      </c>
      <c r="M117">
        <f t="shared" si="86"/>
        <v>0</v>
      </c>
      <c r="N117">
        <f t="shared" si="86"/>
        <v>0</v>
      </c>
      <c r="O117">
        <f t="shared" si="86"/>
        <v>0</v>
      </c>
      <c r="P117">
        <f t="shared" si="86"/>
        <v>1</v>
      </c>
      <c r="Q117">
        <f t="shared" si="86"/>
        <v>0</v>
      </c>
      <c r="R117">
        <f t="shared" si="86"/>
        <v>0</v>
      </c>
      <c r="S117">
        <f t="shared" si="86"/>
        <v>0</v>
      </c>
    </row>
    <row r="118" spans="1:22" x14ac:dyDescent="0.3">
      <c r="A118" t="s">
        <v>229</v>
      </c>
      <c r="B118">
        <v>-2.4428286612745582</v>
      </c>
      <c r="C118">
        <v>-6.5043111734850818</v>
      </c>
      <c r="D118">
        <v>11.824251091374379</v>
      </c>
      <c r="E118">
        <v>-0.88702252476428767</v>
      </c>
      <c r="F118">
        <v>-0.66502991598346806</v>
      </c>
      <c r="G118">
        <v>-0.34828558287271766</v>
      </c>
      <c r="H118">
        <v>-0.29505361011456521</v>
      </c>
      <c r="I118">
        <v>-0.32922585512704733</v>
      </c>
      <c r="J118">
        <v>-0.27776920756372814</v>
      </c>
      <c r="K118">
        <v>-0.46373380744620396</v>
      </c>
      <c r="L118">
        <v>-0.55973643587671851</v>
      </c>
      <c r="M118">
        <v>-0.48451620263740525</v>
      </c>
      <c r="N118">
        <v>-0.68648981298918565</v>
      </c>
      <c r="O118">
        <v>-0.53639500192514933</v>
      </c>
      <c r="P118">
        <v>-1.0941887960334911</v>
      </c>
      <c r="Q118">
        <v>-0.60592826105822306</v>
      </c>
      <c r="R118">
        <v>1.5744512566106612</v>
      </c>
      <c r="S118">
        <v>-40.302108876900441</v>
      </c>
      <c r="T118" s="8">
        <v>-0.83688934682051219</v>
      </c>
      <c r="U118" s="8">
        <v>-0.54806571890093392</v>
      </c>
      <c r="V118" s="8">
        <v>-0.33399078706346491</v>
      </c>
    </row>
    <row r="119" spans="1:22" x14ac:dyDescent="0.3">
      <c r="A119" t="s">
        <v>364</v>
      </c>
      <c r="B119">
        <f>IF(AND(B118&gt;=-0.8369, B118&lt;-0.548),1,0)</f>
        <v>0</v>
      </c>
      <c r="C119">
        <f t="shared" ref="C119:S119" si="87">IF(AND(C118&gt;=-0.8369, C118&lt;-0.548),1,0)</f>
        <v>0</v>
      </c>
      <c r="D119">
        <f t="shared" si="87"/>
        <v>0</v>
      </c>
      <c r="E119">
        <f t="shared" si="87"/>
        <v>0</v>
      </c>
      <c r="F119">
        <f t="shared" si="87"/>
        <v>1</v>
      </c>
      <c r="G119">
        <f t="shared" si="87"/>
        <v>0</v>
      </c>
      <c r="H119">
        <f t="shared" si="87"/>
        <v>0</v>
      </c>
      <c r="I119">
        <f t="shared" si="87"/>
        <v>0</v>
      </c>
      <c r="J119">
        <f t="shared" si="87"/>
        <v>0</v>
      </c>
      <c r="K119">
        <f t="shared" si="87"/>
        <v>0</v>
      </c>
      <c r="L119">
        <f t="shared" si="87"/>
        <v>1</v>
      </c>
      <c r="M119">
        <f t="shared" si="87"/>
        <v>0</v>
      </c>
      <c r="N119">
        <f t="shared" si="87"/>
        <v>1</v>
      </c>
      <c r="O119">
        <f t="shared" si="87"/>
        <v>0</v>
      </c>
      <c r="P119">
        <f t="shared" si="87"/>
        <v>0</v>
      </c>
      <c r="Q119">
        <f t="shared" si="87"/>
        <v>1</v>
      </c>
      <c r="R119">
        <f t="shared" si="87"/>
        <v>0</v>
      </c>
      <c r="S119">
        <f t="shared" si="87"/>
        <v>0</v>
      </c>
    </row>
    <row r="120" spans="1:22" x14ac:dyDescent="0.3">
      <c r="A120" t="s">
        <v>365</v>
      </c>
      <c r="B120">
        <f>IF(AND(B118&gt;=-0.548, B118&lt;-0.334),1,0)</f>
        <v>0</v>
      </c>
      <c r="C120">
        <f t="shared" ref="C120:S120" si="88">IF(AND(C118&gt;=-0.548, C118&lt;-0.334),1,0)</f>
        <v>0</v>
      </c>
      <c r="D120">
        <f t="shared" si="88"/>
        <v>0</v>
      </c>
      <c r="E120">
        <f t="shared" si="88"/>
        <v>0</v>
      </c>
      <c r="F120">
        <f t="shared" si="88"/>
        <v>0</v>
      </c>
      <c r="G120">
        <f t="shared" si="88"/>
        <v>1</v>
      </c>
      <c r="H120">
        <f t="shared" si="88"/>
        <v>0</v>
      </c>
      <c r="I120">
        <f t="shared" si="88"/>
        <v>0</v>
      </c>
      <c r="J120">
        <f t="shared" si="88"/>
        <v>0</v>
      </c>
      <c r="K120">
        <f t="shared" si="88"/>
        <v>1</v>
      </c>
      <c r="L120">
        <f t="shared" si="88"/>
        <v>0</v>
      </c>
      <c r="M120">
        <f t="shared" si="88"/>
        <v>1</v>
      </c>
      <c r="N120">
        <f t="shared" si="88"/>
        <v>0</v>
      </c>
      <c r="O120">
        <f t="shared" si="88"/>
        <v>1</v>
      </c>
      <c r="P120">
        <f t="shared" si="88"/>
        <v>0</v>
      </c>
      <c r="Q120">
        <f t="shared" si="88"/>
        <v>0</v>
      </c>
      <c r="R120">
        <f t="shared" si="88"/>
        <v>0</v>
      </c>
      <c r="S120">
        <f t="shared" si="88"/>
        <v>0</v>
      </c>
    </row>
    <row r="121" spans="1:22" x14ac:dyDescent="0.3">
      <c r="A121" t="s">
        <v>366</v>
      </c>
      <c r="B121">
        <f>IF(B118&gt;=-0.334,1,0)</f>
        <v>0</v>
      </c>
      <c r="C121">
        <f t="shared" ref="C121:S121" si="89">IF(C118&gt;=-0.334,1,0)</f>
        <v>0</v>
      </c>
      <c r="D121">
        <f t="shared" si="89"/>
        <v>1</v>
      </c>
      <c r="E121">
        <f t="shared" si="89"/>
        <v>0</v>
      </c>
      <c r="F121">
        <f t="shared" si="89"/>
        <v>0</v>
      </c>
      <c r="G121">
        <f t="shared" si="89"/>
        <v>0</v>
      </c>
      <c r="H121">
        <f t="shared" si="89"/>
        <v>1</v>
      </c>
      <c r="I121">
        <f t="shared" si="89"/>
        <v>1</v>
      </c>
      <c r="J121">
        <f t="shared" si="89"/>
        <v>1</v>
      </c>
      <c r="K121">
        <f t="shared" si="89"/>
        <v>0</v>
      </c>
      <c r="L121">
        <f t="shared" si="89"/>
        <v>0</v>
      </c>
      <c r="M121">
        <f t="shared" si="89"/>
        <v>0</v>
      </c>
      <c r="N121">
        <f t="shared" si="89"/>
        <v>0</v>
      </c>
      <c r="O121">
        <f t="shared" si="89"/>
        <v>0</v>
      </c>
      <c r="P121">
        <f t="shared" si="89"/>
        <v>0</v>
      </c>
      <c r="Q121">
        <f t="shared" si="89"/>
        <v>0</v>
      </c>
      <c r="R121">
        <f t="shared" si="89"/>
        <v>1</v>
      </c>
      <c r="S121">
        <f t="shared" si="89"/>
        <v>0</v>
      </c>
    </row>
    <row r="122" spans="1:22" x14ac:dyDescent="0.3">
      <c r="A122" t="s">
        <v>230</v>
      </c>
      <c r="B122">
        <v>0.91167844506195694</v>
      </c>
      <c r="C122">
        <v>0.91125850170610012</v>
      </c>
      <c r="D122">
        <v>0.92159938708214006</v>
      </c>
      <c r="E122">
        <v>0.90164860535661806</v>
      </c>
      <c r="F122">
        <v>0.90093523403355402</v>
      </c>
      <c r="G122">
        <v>0.89312400557562743</v>
      </c>
      <c r="H122">
        <v>0.87979219546984255</v>
      </c>
      <c r="I122">
        <v>0.86015400348160997</v>
      </c>
      <c r="J122">
        <v>0.88236710037257693</v>
      </c>
      <c r="K122">
        <v>0.91168820159087571</v>
      </c>
      <c r="L122">
        <v>0.91407818635240257</v>
      </c>
      <c r="M122">
        <v>0.90576932077418848</v>
      </c>
      <c r="N122">
        <v>0.90035258213499425</v>
      </c>
      <c r="O122">
        <v>0.90750503597484944</v>
      </c>
      <c r="P122">
        <v>0.90008036555421611</v>
      </c>
      <c r="Q122">
        <v>0.88187176209378992</v>
      </c>
      <c r="R122">
        <v>0.85445653076194628</v>
      </c>
      <c r="S122">
        <v>0.87365078015561459</v>
      </c>
      <c r="T122" s="8">
        <v>0.8819955966634867</v>
      </c>
      <c r="U122" s="8">
        <v>0.90064390808427408</v>
      </c>
      <c r="V122" s="8">
        <v>0.91032013527328748</v>
      </c>
    </row>
    <row r="123" spans="1:22" x14ac:dyDescent="0.3">
      <c r="A123" t="s">
        <v>394</v>
      </c>
      <c r="B123">
        <f>IF(AND(B122&gt;=0.882, B122&lt;0.9),1,0)</f>
        <v>0</v>
      </c>
      <c r="C123">
        <f t="shared" ref="C123:S123" si="90">IF(AND(C122&gt;=0.882, C122&lt;0.9),1,0)</f>
        <v>0</v>
      </c>
      <c r="D123">
        <f t="shared" si="90"/>
        <v>0</v>
      </c>
      <c r="E123">
        <f t="shared" si="90"/>
        <v>0</v>
      </c>
      <c r="F123">
        <f t="shared" si="90"/>
        <v>0</v>
      </c>
      <c r="G123">
        <f t="shared" si="90"/>
        <v>1</v>
      </c>
      <c r="H123">
        <f t="shared" si="90"/>
        <v>0</v>
      </c>
      <c r="I123">
        <f t="shared" si="90"/>
        <v>0</v>
      </c>
      <c r="J123">
        <f t="shared" si="90"/>
        <v>1</v>
      </c>
      <c r="K123">
        <f t="shared" si="90"/>
        <v>0</v>
      </c>
      <c r="L123">
        <f t="shared" si="90"/>
        <v>0</v>
      </c>
      <c r="M123">
        <f t="shared" si="90"/>
        <v>0</v>
      </c>
      <c r="N123">
        <f t="shared" si="90"/>
        <v>0</v>
      </c>
      <c r="O123">
        <f t="shared" si="90"/>
        <v>0</v>
      </c>
      <c r="P123">
        <f t="shared" si="90"/>
        <v>0</v>
      </c>
      <c r="Q123">
        <f t="shared" si="90"/>
        <v>0</v>
      </c>
      <c r="R123">
        <f t="shared" si="90"/>
        <v>0</v>
      </c>
      <c r="S123">
        <f t="shared" si="90"/>
        <v>0</v>
      </c>
    </row>
    <row r="124" spans="1:22" x14ac:dyDescent="0.3">
      <c r="A124" t="s">
        <v>395</v>
      </c>
      <c r="B124">
        <f>IF(AND(B122&gt;=0.9, B122&lt;0.91),1,0)</f>
        <v>0</v>
      </c>
      <c r="C124">
        <f t="shared" ref="C124:S124" si="91">IF(AND(C122&gt;=0.9, C122&lt;0.91),1,0)</f>
        <v>0</v>
      </c>
      <c r="D124">
        <f t="shared" si="91"/>
        <v>0</v>
      </c>
      <c r="E124">
        <f t="shared" si="91"/>
        <v>1</v>
      </c>
      <c r="F124">
        <f t="shared" si="91"/>
        <v>1</v>
      </c>
      <c r="G124">
        <f t="shared" si="91"/>
        <v>0</v>
      </c>
      <c r="H124">
        <f t="shared" si="91"/>
        <v>0</v>
      </c>
      <c r="I124">
        <f t="shared" si="91"/>
        <v>0</v>
      </c>
      <c r="J124">
        <f t="shared" si="91"/>
        <v>0</v>
      </c>
      <c r="K124">
        <f t="shared" si="91"/>
        <v>0</v>
      </c>
      <c r="L124">
        <f t="shared" si="91"/>
        <v>0</v>
      </c>
      <c r="M124">
        <f t="shared" si="91"/>
        <v>1</v>
      </c>
      <c r="N124">
        <f t="shared" si="91"/>
        <v>1</v>
      </c>
      <c r="O124">
        <f t="shared" si="91"/>
        <v>1</v>
      </c>
      <c r="P124">
        <f t="shared" si="91"/>
        <v>1</v>
      </c>
      <c r="Q124">
        <f t="shared" si="91"/>
        <v>0</v>
      </c>
      <c r="R124">
        <f t="shared" si="91"/>
        <v>0</v>
      </c>
      <c r="S124">
        <f t="shared" si="91"/>
        <v>0</v>
      </c>
    </row>
    <row r="125" spans="1:22" x14ac:dyDescent="0.3">
      <c r="A125" t="s">
        <v>396</v>
      </c>
      <c r="B125">
        <f>IF(B122&gt;=0.91,1,0)</f>
        <v>1</v>
      </c>
      <c r="C125">
        <f t="shared" ref="C125:S125" si="92">IF(C122&gt;=0.91,1,0)</f>
        <v>1</v>
      </c>
      <c r="D125">
        <f t="shared" si="92"/>
        <v>1</v>
      </c>
      <c r="E125">
        <f t="shared" si="92"/>
        <v>0</v>
      </c>
      <c r="F125">
        <f t="shared" si="92"/>
        <v>0</v>
      </c>
      <c r="G125">
        <f t="shared" si="92"/>
        <v>0</v>
      </c>
      <c r="H125">
        <f t="shared" si="92"/>
        <v>0</v>
      </c>
      <c r="I125">
        <f t="shared" si="92"/>
        <v>0</v>
      </c>
      <c r="J125">
        <f t="shared" si="92"/>
        <v>0</v>
      </c>
      <c r="K125">
        <f t="shared" si="92"/>
        <v>1</v>
      </c>
      <c r="L125">
        <f t="shared" si="92"/>
        <v>1</v>
      </c>
      <c r="M125">
        <f t="shared" si="92"/>
        <v>0</v>
      </c>
      <c r="N125">
        <f t="shared" si="92"/>
        <v>0</v>
      </c>
      <c r="O125">
        <f t="shared" si="92"/>
        <v>0</v>
      </c>
      <c r="P125">
        <f t="shared" si="92"/>
        <v>0</v>
      </c>
      <c r="Q125">
        <f t="shared" si="92"/>
        <v>0</v>
      </c>
      <c r="R125">
        <f t="shared" si="92"/>
        <v>0</v>
      </c>
      <c r="S125">
        <f t="shared" si="92"/>
        <v>0</v>
      </c>
    </row>
    <row r="126" spans="1:22" x14ac:dyDescent="0.3">
      <c r="A126" t="s">
        <v>231</v>
      </c>
      <c r="B126">
        <v>0.17889327289474499</v>
      </c>
      <c r="C126">
        <v>0.13077808250322842</v>
      </c>
      <c r="D126">
        <v>0.15747524932397516</v>
      </c>
      <c r="E126">
        <v>0.12784203161652666</v>
      </c>
      <c r="F126">
        <v>8.6471006096955905E-2</v>
      </c>
      <c r="G126">
        <v>9.3851344600922801E-2</v>
      </c>
      <c r="H126">
        <v>0.12914170063466049</v>
      </c>
      <c r="I126">
        <v>0.16823300083603981</v>
      </c>
      <c r="J126">
        <v>0.1396774894013238</v>
      </c>
      <c r="K126">
        <v>9.4832614197128365E-2</v>
      </c>
      <c r="L126">
        <v>0.13271533341148695</v>
      </c>
      <c r="M126">
        <v>0.10522530975105852</v>
      </c>
      <c r="N126">
        <v>0.1265624497685334</v>
      </c>
      <c r="O126">
        <v>9.6324058310722049E-2</v>
      </c>
      <c r="P126">
        <v>0.22945919333124251</v>
      </c>
      <c r="Q126">
        <v>8.8195397054762013E-4</v>
      </c>
      <c r="R126">
        <v>2.1176577884047282E-2</v>
      </c>
      <c r="S126">
        <v>0.15775047687807112</v>
      </c>
      <c r="T126" s="8">
        <v>9.5205475225526789E-2</v>
      </c>
      <c r="U126" s="8">
        <v>0.12849186612559357</v>
      </c>
      <c r="V126" s="8">
        <v>0.15302580934331234</v>
      </c>
    </row>
    <row r="127" spans="1:22" x14ac:dyDescent="0.3">
      <c r="A127" t="s">
        <v>391</v>
      </c>
      <c r="B127">
        <f>IF(AND(B126&gt;=0.095, B126&lt;0.1285),1,0)</f>
        <v>0</v>
      </c>
      <c r="C127">
        <f t="shared" ref="C127:S127" si="93">IF(AND(C126&gt;=0.095, C126&lt;0.1285),1,0)</f>
        <v>0</v>
      </c>
      <c r="D127">
        <f t="shared" si="93"/>
        <v>0</v>
      </c>
      <c r="E127">
        <f t="shared" si="93"/>
        <v>1</v>
      </c>
      <c r="F127">
        <f t="shared" si="93"/>
        <v>0</v>
      </c>
      <c r="G127">
        <f t="shared" si="93"/>
        <v>0</v>
      </c>
      <c r="H127">
        <f t="shared" si="93"/>
        <v>0</v>
      </c>
      <c r="I127">
        <f t="shared" si="93"/>
        <v>0</v>
      </c>
      <c r="J127">
        <f t="shared" si="93"/>
        <v>0</v>
      </c>
      <c r="K127">
        <f t="shared" si="93"/>
        <v>0</v>
      </c>
      <c r="L127">
        <f t="shared" si="93"/>
        <v>0</v>
      </c>
      <c r="M127">
        <f t="shared" si="93"/>
        <v>1</v>
      </c>
      <c r="N127">
        <f t="shared" si="93"/>
        <v>1</v>
      </c>
      <c r="O127">
        <f t="shared" si="93"/>
        <v>1</v>
      </c>
      <c r="P127">
        <f t="shared" si="93"/>
        <v>0</v>
      </c>
      <c r="Q127">
        <f t="shared" si="93"/>
        <v>0</v>
      </c>
      <c r="R127">
        <f t="shared" si="93"/>
        <v>0</v>
      </c>
      <c r="S127">
        <f t="shared" si="93"/>
        <v>0</v>
      </c>
    </row>
    <row r="128" spans="1:22" x14ac:dyDescent="0.3">
      <c r="A128" t="s">
        <v>392</v>
      </c>
      <c r="B128">
        <f>IF(AND(B126&gt;=0.1285, B126&lt;0.153),1,0)</f>
        <v>0</v>
      </c>
      <c r="C128">
        <f t="shared" ref="C128:S128" si="94">IF(AND(C126&gt;=0.1285, C126&lt;0.153),1,0)</f>
        <v>1</v>
      </c>
      <c r="D128">
        <f t="shared" si="94"/>
        <v>0</v>
      </c>
      <c r="E128">
        <f t="shared" si="94"/>
        <v>0</v>
      </c>
      <c r="F128">
        <f t="shared" si="94"/>
        <v>0</v>
      </c>
      <c r="G128">
        <f t="shared" si="94"/>
        <v>0</v>
      </c>
      <c r="H128">
        <f t="shared" si="94"/>
        <v>1</v>
      </c>
      <c r="I128">
        <f t="shared" si="94"/>
        <v>0</v>
      </c>
      <c r="J128">
        <f t="shared" si="94"/>
        <v>1</v>
      </c>
      <c r="K128">
        <f t="shared" si="94"/>
        <v>0</v>
      </c>
      <c r="L128">
        <f t="shared" si="94"/>
        <v>1</v>
      </c>
      <c r="M128">
        <f t="shared" si="94"/>
        <v>0</v>
      </c>
      <c r="N128">
        <f t="shared" si="94"/>
        <v>0</v>
      </c>
      <c r="O128">
        <f t="shared" si="94"/>
        <v>0</v>
      </c>
      <c r="P128">
        <f t="shared" si="94"/>
        <v>0</v>
      </c>
      <c r="Q128">
        <f t="shared" si="94"/>
        <v>0</v>
      </c>
      <c r="R128">
        <f t="shared" si="94"/>
        <v>0</v>
      </c>
      <c r="S128">
        <f t="shared" si="94"/>
        <v>0</v>
      </c>
    </row>
    <row r="129" spans="1:22" x14ac:dyDescent="0.3">
      <c r="A129" t="s">
        <v>393</v>
      </c>
      <c r="B129">
        <f>IF(B126&gt;=0.153,1,0)</f>
        <v>1</v>
      </c>
      <c r="C129">
        <f t="shared" ref="C129:S129" si="95">IF(C126&gt;=0.153,1,0)</f>
        <v>0</v>
      </c>
      <c r="D129">
        <f t="shared" si="95"/>
        <v>1</v>
      </c>
      <c r="E129">
        <f t="shared" si="95"/>
        <v>0</v>
      </c>
      <c r="F129">
        <f t="shared" si="95"/>
        <v>0</v>
      </c>
      <c r="G129">
        <f t="shared" si="95"/>
        <v>0</v>
      </c>
      <c r="H129">
        <f t="shared" si="95"/>
        <v>0</v>
      </c>
      <c r="I129">
        <f t="shared" si="95"/>
        <v>1</v>
      </c>
      <c r="J129">
        <f t="shared" si="95"/>
        <v>0</v>
      </c>
      <c r="K129">
        <f t="shared" si="95"/>
        <v>0</v>
      </c>
      <c r="L129">
        <f t="shared" si="95"/>
        <v>0</v>
      </c>
      <c r="M129">
        <f t="shared" si="95"/>
        <v>0</v>
      </c>
      <c r="N129">
        <f t="shared" si="95"/>
        <v>0</v>
      </c>
      <c r="O129">
        <f t="shared" si="95"/>
        <v>0</v>
      </c>
      <c r="P129">
        <f t="shared" si="95"/>
        <v>1</v>
      </c>
      <c r="Q129">
        <f t="shared" si="95"/>
        <v>0</v>
      </c>
      <c r="R129">
        <f t="shared" si="95"/>
        <v>0</v>
      </c>
      <c r="S129">
        <f t="shared" si="95"/>
        <v>1</v>
      </c>
    </row>
    <row r="130" spans="1:22" x14ac:dyDescent="0.3">
      <c r="A130" t="s">
        <v>232</v>
      </c>
      <c r="B130">
        <v>8.3410737932165274E-2</v>
      </c>
      <c r="C130">
        <v>6.6862567245360577E-2</v>
      </c>
      <c r="D130">
        <v>8.481591942487654E-2</v>
      </c>
      <c r="E130">
        <v>5.5859388488121463E-2</v>
      </c>
      <c r="F130">
        <v>4.5441140850786606E-2</v>
      </c>
      <c r="G130">
        <v>4.8838884333559658E-2</v>
      </c>
      <c r="H130">
        <v>6.6960552653545627E-2</v>
      </c>
      <c r="I130">
        <v>7.3632271067079522E-2</v>
      </c>
      <c r="J130">
        <v>7.2800421652937319E-2</v>
      </c>
      <c r="K130">
        <v>5.2511997575367883E-2</v>
      </c>
      <c r="L130">
        <v>6.5540500338577112E-2</v>
      </c>
      <c r="M130">
        <v>4.8799554699017145E-2</v>
      </c>
      <c r="N130">
        <v>5.1465838365951949E-2</v>
      </c>
      <c r="O130">
        <v>4.5017509369048352E-2</v>
      </c>
      <c r="P130">
        <v>9.9110559550301028E-2</v>
      </c>
      <c r="Q130">
        <v>3.9140471631396976E-4</v>
      </c>
      <c r="R130">
        <v>6.0031485477169098E-3</v>
      </c>
      <c r="S130">
        <v>5.5883103462291951E-2</v>
      </c>
      <c r="T130" s="8">
        <v>4.8809387107652771E-2</v>
      </c>
      <c r="U130" s="8">
        <v>5.5871245975206707E-2</v>
      </c>
      <c r="V130" s="8">
        <v>7.1340454403089393E-2</v>
      </c>
    </row>
    <row r="131" spans="1:22" x14ac:dyDescent="0.3">
      <c r="A131" t="s">
        <v>388</v>
      </c>
      <c r="B131">
        <f>IF(AND(B130&gt;=0.049, B130&lt;0.056),1,0)</f>
        <v>0</v>
      </c>
      <c r="C131">
        <f t="shared" ref="C131:S131" si="96">IF(AND(C130&gt;=0.049, C130&lt;0.056),1,0)</f>
        <v>0</v>
      </c>
      <c r="D131">
        <f t="shared" si="96"/>
        <v>0</v>
      </c>
      <c r="E131">
        <f t="shared" si="96"/>
        <v>1</v>
      </c>
      <c r="F131">
        <f t="shared" si="96"/>
        <v>0</v>
      </c>
      <c r="G131">
        <f t="shared" si="96"/>
        <v>0</v>
      </c>
      <c r="H131">
        <f t="shared" si="96"/>
        <v>0</v>
      </c>
      <c r="I131">
        <f t="shared" si="96"/>
        <v>0</v>
      </c>
      <c r="J131">
        <f t="shared" si="96"/>
        <v>0</v>
      </c>
      <c r="K131">
        <f t="shared" si="96"/>
        <v>1</v>
      </c>
      <c r="L131">
        <f t="shared" si="96"/>
        <v>0</v>
      </c>
      <c r="M131">
        <f t="shared" si="96"/>
        <v>0</v>
      </c>
      <c r="N131">
        <f t="shared" si="96"/>
        <v>1</v>
      </c>
      <c r="O131">
        <f t="shared" si="96"/>
        <v>0</v>
      </c>
      <c r="P131">
        <f t="shared" si="96"/>
        <v>0</v>
      </c>
      <c r="Q131">
        <f t="shared" si="96"/>
        <v>0</v>
      </c>
      <c r="R131">
        <f t="shared" si="96"/>
        <v>0</v>
      </c>
      <c r="S131">
        <f t="shared" si="96"/>
        <v>1</v>
      </c>
    </row>
    <row r="132" spans="1:22" x14ac:dyDescent="0.3">
      <c r="A132" t="s">
        <v>389</v>
      </c>
      <c r="B132">
        <f>IF(AND(B130&gt;=0.056, B130&lt;0.07),1,0)</f>
        <v>0</v>
      </c>
      <c r="C132">
        <f t="shared" ref="C132:S132" si="97">IF(AND(C130&gt;=0.056, C130&lt;0.07),1,0)</f>
        <v>1</v>
      </c>
      <c r="D132">
        <f t="shared" si="97"/>
        <v>0</v>
      </c>
      <c r="E132">
        <f t="shared" si="97"/>
        <v>0</v>
      </c>
      <c r="F132">
        <f t="shared" si="97"/>
        <v>0</v>
      </c>
      <c r="G132">
        <f t="shared" si="97"/>
        <v>0</v>
      </c>
      <c r="H132">
        <f t="shared" si="97"/>
        <v>1</v>
      </c>
      <c r="I132">
        <f t="shared" si="97"/>
        <v>0</v>
      </c>
      <c r="J132">
        <f t="shared" si="97"/>
        <v>0</v>
      </c>
      <c r="K132">
        <f t="shared" si="97"/>
        <v>0</v>
      </c>
      <c r="L132">
        <f t="shared" si="97"/>
        <v>1</v>
      </c>
      <c r="M132">
        <f t="shared" si="97"/>
        <v>0</v>
      </c>
      <c r="N132">
        <f t="shared" si="97"/>
        <v>0</v>
      </c>
      <c r="O132">
        <f t="shared" si="97"/>
        <v>0</v>
      </c>
      <c r="P132">
        <f t="shared" si="97"/>
        <v>0</v>
      </c>
      <c r="Q132">
        <f t="shared" si="97"/>
        <v>0</v>
      </c>
      <c r="R132">
        <f t="shared" si="97"/>
        <v>0</v>
      </c>
      <c r="S132">
        <f t="shared" si="97"/>
        <v>0</v>
      </c>
    </row>
    <row r="133" spans="1:22" x14ac:dyDescent="0.3">
      <c r="A133" t="s">
        <v>390</v>
      </c>
      <c r="B133">
        <f>IF(B130&gt;=0.07,1,0)</f>
        <v>1</v>
      </c>
      <c r="C133">
        <f t="shared" ref="C133:S133" si="98">IF(C130&gt;=0.07,1,0)</f>
        <v>0</v>
      </c>
      <c r="D133">
        <f t="shared" si="98"/>
        <v>1</v>
      </c>
      <c r="E133">
        <f t="shared" si="98"/>
        <v>0</v>
      </c>
      <c r="F133">
        <f t="shared" si="98"/>
        <v>0</v>
      </c>
      <c r="G133">
        <f t="shared" si="98"/>
        <v>0</v>
      </c>
      <c r="H133">
        <f t="shared" si="98"/>
        <v>0</v>
      </c>
      <c r="I133">
        <f t="shared" si="98"/>
        <v>1</v>
      </c>
      <c r="J133">
        <f t="shared" si="98"/>
        <v>1</v>
      </c>
      <c r="K133">
        <f t="shared" si="98"/>
        <v>0</v>
      </c>
      <c r="L133">
        <f t="shared" si="98"/>
        <v>0</v>
      </c>
      <c r="M133">
        <f t="shared" si="98"/>
        <v>0</v>
      </c>
      <c r="N133">
        <f t="shared" si="98"/>
        <v>0</v>
      </c>
      <c r="O133">
        <f t="shared" si="98"/>
        <v>0</v>
      </c>
      <c r="P133">
        <f t="shared" si="98"/>
        <v>1</v>
      </c>
      <c r="Q133">
        <f t="shared" si="98"/>
        <v>0</v>
      </c>
      <c r="R133">
        <f t="shared" si="98"/>
        <v>0</v>
      </c>
      <c r="S133">
        <f t="shared" si="98"/>
        <v>0</v>
      </c>
    </row>
    <row r="134" spans="1:22" x14ac:dyDescent="0.3">
      <c r="A134" t="s">
        <v>233</v>
      </c>
      <c r="B134">
        <v>2.1836027925392597E-2</v>
      </c>
      <c r="C134">
        <v>1.6487481670365831E-2</v>
      </c>
      <c r="D134">
        <v>2.2027517177735271E-2</v>
      </c>
      <c r="E134">
        <v>1.4146456942383716E-2</v>
      </c>
      <c r="F134">
        <v>1.0570424762450768E-2</v>
      </c>
      <c r="G134">
        <v>1.0590035664705786E-2</v>
      </c>
      <c r="H134">
        <v>1.5089782461544845E-2</v>
      </c>
      <c r="I134">
        <v>1.6163574232137632E-2</v>
      </c>
      <c r="J134">
        <v>1.5121502539778389E-2</v>
      </c>
      <c r="K134">
        <v>1.1934386395875532E-2</v>
      </c>
      <c r="L134">
        <v>1.763866732317107E-2</v>
      </c>
      <c r="M134">
        <v>1.3116536591632777E-2</v>
      </c>
      <c r="N134">
        <v>1.3876570868318814E-2</v>
      </c>
      <c r="O134">
        <v>1.2109283988053937E-2</v>
      </c>
      <c r="P134">
        <v>2.9656718946659423E-2</v>
      </c>
      <c r="Q134">
        <v>1.2183669021286008E-4</v>
      </c>
      <c r="R134">
        <v>2.0496175153892097E-3</v>
      </c>
      <c r="S134">
        <v>1.9340200266678823E-2</v>
      </c>
      <c r="T134" s="8">
        <v>1.1978110793920133E-2</v>
      </c>
      <c r="U134" s="8">
        <v>1.4618119701964281E-2</v>
      </c>
      <c r="V134" s="8">
        <v>1.735087090996976E-2</v>
      </c>
    </row>
    <row r="135" spans="1:22" x14ac:dyDescent="0.3">
      <c r="A135" t="s">
        <v>385</v>
      </c>
      <c r="B135">
        <f>IF(AND(B134&gt;=0.012, B134&lt;0.015),1,0)</f>
        <v>0</v>
      </c>
      <c r="C135">
        <f t="shared" ref="C135:S135" si="99">IF(AND(C134&gt;=0.012, C134&lt;0.015),1,0)</f>
        <v>0</v>
      </c>
      <c r="D135">
        <f t="shared" si="99"/>
        <v>0</v>
      </c>
      <c r="E135">
        <f t="shared" si="99"/>
        <v>1</v>
      </c>
      <c r="F135">
        <f t="shared" si="99"/>
        <v>0</v>
      </c>
      <c r="G135">
        <f t="shared" si="99"/>
        <v>0</v>
      </c>
      <c r="H135">
        <f t="shared" si="99"/>
        <v>0</v>
      </c>
      <c r="I135">
        <f t="shared" si="99"/>
        <v>0</v>
      </c>
      <c r="J135">
        <f t="shared" si="99"/>
        <v>0</v>
      </c>
      <c r="K135">
        <f t="shared" si="99"/>
        <v>0</v>
      </c>
      <c r="L135">
        <f t="shared" si="99"/>
        <v>0</v>
      </c>
      <c r="M135">
        <f t="shared" si="99"/>
        <v>1</v>
      </c>
      <c r="N135">
        <f t="shared" si="99"/>
        <v>1</v>
      </c>
      <c r="O135">
        <f t="shared" si="99"/>
        <v>1</v>
      </c>
      <c r="P135">
        <f t="shared" si="99"/>
        <v>0</v>
      </c>
      <c r="Q135">
        <f t="shared" si="99"/>
        <v>0</v>
      </c>
      <c r="R135">
        <f t="shared" si="99"/>
        <v>0</v>
      </c>
      <c r="S135">
        <f t="shared" si="99"/>
        <v>0</v>
      </c>
    </row>
    <row r="136" spans="1:22" x14ac:dyDescent="0.3">
      <c r="A136" t="s">
        <v>386</v>
      </c>
      <c r="B136">
        <f>IF(AND(B134&gt;=0.015, B134&lt;0.017),1,0)</f>
        <v>0</v>
      </c>
      <c r="C136">
        <f t="shared" ref="C136:S136" si="100">IF(AND(C134&gt;=0.015, C134&lt;0.017),1,0)</f>
        <v>1</v>
      </c>
      <c r="D136">
        <f t="shared" si="100"/>
        <v>0</v>
      </c>
      <c r="E136">
        <f t="shared" si="100"/>
        <v>0</v>
      </c>
      <c r="F136">
        <f t="shared" si="100"/>
        <v>0</v>
      </c>
      <c r="G136">
        <f t="shared" si="100"/>
        <v>0</v>
      </c>
      <c r="H136">
        <f t="shared" si="100"/>
        <v>1</v>
      </c>
      <c r="I136">
        <f t="shared" si="100"/>
        <v>1</v>
      </c>
      <c r="J136">
        <f t="shared" si="100"/>
        <v>1</v>
      </c>
      <c r="K136">
        <f t="shared" si="100"/>
        <v>0</v>
      </c>
      <c r="L136">
        <f t="shared" si="100"/>
        <v>0</v>
      </c>
      <c r="M136">
        <f t="shared" si="100"/>
        <v>0</v>
      </c>
      <c r="N136">
        <f t="shared" si="100"/>
        <v>0</v>
      </c>
      <c r="O136">
        <f t="shared" si="100"/>
        <v>0</v>
      </c>
      <c r="P136">
        <f t="shared" si="100"/>
        <v>0</v>
      </c>
      <c r="Q136">
        <f t="shared" si="100"/>
        <v>0</v>
      </c>
      <c r="R136">
        <f t="shared" si="100"/>
        <v>0</v>
      </c>
      <c r="S136">
        <f t="shared" si="100"/>
        <v>0</v>
      </c>
    </row>
    <row r="137" spans="1:22" x14ac:dyDescent="0.3">
      <c r="A137" t="s">
        <v>387</v>
      </c>
      <c r="B137">
        <f>IF(B134&gt;=0.017,1,0)</f>
        <v>1</v>
      </c>
      <c r="C137">
        <f t="shared" ref="C137:S137" si="101">IF(C134&gt;=0.017,1,0)</f>
        <v>0</v>
      </c>
      <c r="D137">
        <f t="shared" si="101"/>
        <v>1</v>
      </c>
      <c r="E137">
        <f t="shared" si="101"/>
        <v>0</v>
      </c>
      <c r="F137">
        <f t="shared" si="101"/>
        <v>0</v>
      </c>
      <c r="G137">
        <f t="shared" si="101"/>
        <v>0</v>
      </c>
      <c r="H137">
        <f t="shared" si="101"/>
        <v>0</v>
      </c>
      <c r="I137">
        <f t="shared" si="101"/>
        <v>0</v>
      </c>
      <c r="J137">
        <f t="shared" si="101"/>
        <v>0</v>
      </c>
      <c r="K137">
        <f t="shared" si="101"/>
        <v>0</v>
      </c>
      <c r="L137">
        <f t="shared" si="101"/>
        <v>1</v>
      </c>
      <c r="M137">
        <f t="shared" si="101"/>
        <v>0</v>
      </c>
      <c r="N137">
        <f t="shared" si="101"/>
        <v>0</v>
      </c>
      <c r="O137">
        <f t="shared" si="101"/>
        <v>0</v>
      </c>
      <c r="P137">
        <f t="shared" si="101"/>
        <v>1</v>
      </c>
      <c r="Q137">
        <f t="shared" si="101"/>
        <v>0</v>
      </c>
      <c r="R137">
        <f t="shared" si="101"/>
        <v>0</v>
      </c>
      <c r="S137">
        <f t="shared" si="101"/>
        <v>1</v>
      </c>
    </row>
    <row r="138" spans="1:22" x14ac:dyDescent="0.3">
      <c r="A138" t="s">
        <v>234</v>
      </c>
      <c r="B138">
        <v>8.6315188837690027</v>
      </c>
      <c r="C138">
        <v>1.6764892461608862</v>
      </c>
      <c r="D138">
        <v>1.4128423632826896</v>
      </c>
      <c r="E138">
        <v>-1.3407990720305647</v>
      </c>
      <c r="F138">
        <v>-0.4645873836608066</v>
      </c>
      <c r="G138">
        <v>-0.25047147271749537</v>
      </c>
      <c r="H138">
        <v>-0.37753050083174661</v>
      </c>
      <c r="I138">
        <v>-0.31974194240648096</v>
      </c>
      <c r="J138">
        <v>-0.39517717859737739</v>
      </c>
      <c r="K138">
        <v>-0.61172996716818595</v>
      </c>
      <c r="L138">
        <v>-1.1062101791529646</v>
      </c>
      <c r="M138">
        <v>-0.87283559792274312</v>
      </c>
      <c r="N138">
        <v>-2.2820570879959425</v>
      </c>
      <c r="O138">
        <v>-1.4505096973182079</v>
      </c>
      <c r="P138">
        <v>6.3828668835798457</v>
      </c>
      <c r="Q138">
        <v>2.0354501702077709E-2</v>
      </c>
      <c r="R138">
        <v>5.96119779835848E-2</v>
      </c>
      <c r="S138">
        <v>0.68124936109312706</v>
      </c>
      <c r="T138" s="8">
        <v>-0.80755919023410383</v>
      </c>
      <c r="U138" s="8">
        <v>-0.34863622161911378</v>
      </c>
      <c r="V138" s="8">
        <v>0.52584001531574154</v>
      </c>
    </row>
    <row r="139" spans="1:22" x14ac:dyDescent="0.3">
      <c r="A139" t="s">
        <v>382</v>
      </c>
      <c r="B139">
        <f>IF(AND(B138&gt;=-0.81, B138&lt;-0.349),1,0)</f>
        <v>0</v>
      </c>
      <c r="C139">
        <f t="shared" ref="C139:S139" si="102">IF(AND(C138&gt;=-0.81, C138&lt;-0.349),1,0)</f>
        <v>0</v>
      </c>
      <c r="D139">
        <f t="shared" si="102"/>
        <v>0</v>
      </c>
      <c r="E139">
        <f t="shared" si="102"/>
        <v>0</v>
      </c>
      <c r="F139">
        <f t="shared" si="102"/>
        <v>1</v>
      </c>
      <c r="G139">
        <f t="shared" si="102"/>
        <v>0</v>
      </c>
      <c r="H139">
        <f t="shared" si="102"/>
        <v>1</v>
      </c>
      <c r="I139">
        <f t="shared" si="102"/>
        <v>0</v>
      </c>
      <c r="J139">
        <f t="shared" si="102"/>
        <v>1</v>
      </c>
      <c r="K139">
        <f t="shared" si="102"/>
        <v>1</v>
      </c>
      <c r="L139">
        <f t="shared" si="102"/>
        <v>0</v>
      </c>
      <c r="M139">
        <f t="shared" si="102"/>
        <v>0</v>
      </c>
      <c r="N139">
        <f t="shared" si="102"/>
        <v>0</v>
      </c>
      <c r="O139">
        <f t="shared" si="102"/>
        <v>0</v>
      </c>
      <c r="P139">
        <f t="shared" si="102"/>
        <v>0</v>
      </c>
      <c r="Q139">
        <f t="shared" si="102"/>
        <v>0</v>
      </c>
      <c r="R139">
        <f t="shared" si="102"/>
        <v>0</v>
      </c>
      <c r="S139">
        <f t="shared" si="102"/>
        <v>0</v>
      </c>
    </row>
    <row r="140" spans="1:22" x14ac:dyDescent="0.3">
      <c r="A140" t="s">
        <v>383</v>
      </c>
      <c r="B140">
        <f>IF(AND(B138&gt;=-0.349, B138&lt;0.526),1,0)</f>
        <v>0</v>
      </c>
      <c r="C140">
        <f t="shared" ref="C140:S140" si="103">IF(AND(C138&gt;=-0.349, C138&lt;0.526),1,0)</f>
        <v>0</v>
      </c>
      <c r="D140">
        <f t="shared" si="103"/>
        <v>0</v>
      </c>
      <c r="E140">
        <f t="shared" si="103"/>
        <v>0</v>
      </c>
      <c r="F140">
        <f t="shared" si="103"/>
        <v>0</v>
      </c>
      <c r="G140">
        <f t="shared" si="103"/>
        <v>1</v>
      </c>
      <c r="H140">
        <f t="shared" si="103"/>
        <v>0</v>
      </c>
      <c r="I140">
        <f t="shared" si="103"/>
        <v>1</v>
      </c>
      <c r="J140">
        <f t="shared" si="103"/>
        <v>0</v>
      </c>
      <c r="K140">
        <f t="shared" si="103"/>
        <v>0</v>
      </c>
      <c r="L140">
        <f t="shared" si="103"/>
        <v>0</v>
      </c>
      <c r="M140">
        <f t="shared" si="103"/>
        <v>0</v>
      </c>
      <c r="N140">
        <f t="shared" si="103"/>
        <v>0</v>
      </c>
      <c r="O140">
        <f t="shared" si="103"/>
        <v>0</v>
      </c>
      <c r="P140">
        <f t="shared" si="103"/>
        <v>0</v>
      </c>
      <c r="Q140">
        <f t="shared" si="103"/>
        <v>1</v>
      </c>
      <c r="R140">
        <f t="shared" si="103"/>
        <v>1</v>
      </c>
      <c r="S140">
        <f t="shared" si="103"/>
        <v>0</v>
      </c>
    </row>
    <row r="141" spans="1:22" x14ac:dyDescent="0.3">
      <c r="A141" t="s">
        <v>384</v>
      </c>
      <c r="B141">
        <f>IF(B138&gt;=0.526,1,0)</f>
        <v>1</v>
      </c>
      <c r="C141">
        <f t="shared" ref="C141:S141" si="104">IF(C138&gt;=0.526,1,0)</f>
        <v>1</v>
      </c>
      <c r="D141">
        <f t="shared" si="104"/>
        <v>1</v>
      </c>
      <c r="E141">
        <f t="shared" si="104"/>
        <v>0</v>
      </c>
      <c r="F141">
        <f t="shared" si="104"/>
        <v>0</v>
      </c>
      <c r="G141">
        <f t="shared" si="104"/>
        <v>0</v>
      </c>
      <c r="H141">
        <f t="shared" si="104"/>
        <v>0</v>
      </c>
      <c r="I141">
        <f t="shared" si="104"/>
        <v>0</v>
      </c>
      <c r="J141">
        <f t="shared" si="104"/>
        <v>0</v>
      </c>
      <c r="K141">
        <f t="shared" si="104"/>
        <v>0</v>
      </c>
      <c r="L141">
        <f t="shared" si="104"/>
        <v>0</v>
      </c>
      <c r="M141">
        <f t="shared" si="104"/>
        <v>0</v>
      </c>
      <c r="N141">
        <f t="shared" si="104"/>
        <v>0</v>
      </c>
      <c r="O141">
        <f t="shared" si="104"/>
        <v>0</v>
      </c>
      <c r="P141">
        <f t="shared" si="104"/>
        <v>1</v>
      </c>
      <c r="Q141">
        <f t="shared" si="104"/>
        <v>0</v>
      </c>
      <c r="R141">
        <f t="shared" si="104"/>
        <v>0</v>
      </c>
      <c r="S141">
        <f t="shared" si="104"/>
        <v>1</v>
      </c>
    </row>
    <row r="142" spans="1:22" x14ac:dyDescent="0.3">
      <c r="A142" t="s">
        <v>235</v>
      </c>
      <c r="B142">
        <v>0.25526854334408783</v>
      </c>
      <c r="C142">
        <v>0.22302953847691701</v>
      </c>
      <c r="D142">
        <v>0.1183058519154004</v>
      </c>
      <c r="E142">
        <v>0.16577267926674383</v>
      </c>
      <c r="F142">
        <v>0.16892832359214707</v>
      </c>
      <c r="G142">
        <v>0.23775886781746136</v>
      </c>
      <c r="H142">
        <v>0.23482973090436951</v>
      </c>
      <c r="I142">
        <v>0.24388057815895786</v>
      </c>
      <c r="J142">
        <v>-3.469206820846097E-2</v>
      </c>
      <c r="K142">
        <v>-0.10916714395695358</v>
      </c>
      <c r="L142">
        <v>0.172514543212544</v>
      </c>
      <c r="M142">
        <v>0.13941905377616209</v>
      </c>
      <c r="N142">
        <v>0.16319383514930921</v>
      </c>
      <c r="O142">
        <v>0.15180426623887922</v>
      </c>
      <c r="P142">
        <v>0.28965763267237277</v>
      </c>
      <c r="Q142">
        <v>1.646504743322344E-2</v>
      </c>
      <c r="R142">
        <v>6.0952648778314425E-2</v>
      </c>
      <c r="S142">
        <v>0.19188585310733813</v>
      </c>
      <c r="T142" s="8">
        <v>0.12358415238059083</v>
      </c>
      <c r="U142" s="8">
        <v>0.16735050142944546</v>
      </c>
      <c r="V142" s="8">
        <v>0.23187968279750637</v>
      </c>
    </row>
    <row r="143" spans="1:22" x14ac:dyDescent="0.3">
      <c r="A143" t="s">
        <v>379</v>
      </c>
      <c r="B143">
        <f>IF(AND(B142&gt;=0.1236, B142&lt;0.1674),1,0)</f>
        <v>0</v>
      </c>
      <c r="C143">
        <f t="shared" ref="C143:S143" si="105">IF(AND(C142&gt;=0.1236, C142&lt;0.1674),1,0)</f>
        <v>0</v>
      </c>
      <c r="D143">
        <f t="shared" si="105"/>
        <v>0</v>
      </c>
      <c r="E143">
        <f t="shared" si="105"/>
        <v>1</v>
      </c>
      <c r="F143">
        <f t="shared" si="105"/>
        <v>0</v>
      </c>
      <c r="G143">
        <f t="shared" si="105"/>
        <v>0</v>
      </c>
      <c r="H143">
        <f t="shared" si="105"/>
        <v>0</v>
      </c>
      <c r="I143">
        <f t="shared" si="105"/>
        <v>0</v>
      </c>
      <c r="J143">
        <f t="shared" si="105"/>
        <v>0</v>
      </c>
      <c r="K143">
        <f t="shared" si="105"/>
        <v>0</v>
      </c>
      <c r="L143">
        <f t="shared" si="105"/>
        <v>0</v>
      </c>
      <c r="M143">
        <f t="shared" si="105"/>
        <v>1</v>
      </c>
      <c r="N143">
        <f t="shared" si="105"/>
        <v>1</v>
      </c>
      <c r="O143">
        <f t="shared" si="105"/>
        <v>1</v>
      </c>
      <c r="P143">
        <f t="shared" si="105"/>
        <v>0</v>
      </c>
      <c r="Q143">
        <f t="shared" si="105"/>
        <v>0</v>
      </c>
      <c r="R143">
        <f t="shared" si="105"/>
        <v>0</v>
      </c>
      <c r="S143">
        <f t="shared" si="105"/>
        <v>0</v>
      </c>
    </row>
    <row r="144" spans="1:22" x14ac:dyDescent="0.3">
      <c r="A144" t="s">
        <v>380</v>
      </c>
      <c r="B144">
        <f>IF(AND(B142&gt;=0.1674, B142&lt;0.232),1,0)</f>
        <v>0</v>
      </c>
      <c r="C144">
        <f t="shared" ref="C144:S144" si="106">IF(AND(C142&gt;=0.1674, C142&lt;0.232),1,0)</f>
        <v>1</v>
      </c>
      <c r="D144">
        <f t="shared" si="106"/>
        <v>0</v>
      </c>
      <c r="E144">
        <f t="shared" si="106"/>
        <v>0</v>
      </c>
      <c r="F144">
        <f t="shared" si="106"/>
        <v>1</v>
      </c>
      <c r="G144">
        <f t="shared" si="106"/>
        <v>0</v>
      </c>
      <c r="H144">
        <f t="shared" si="106"/>
        <v>0</v>
      </c>
      <c r="I144">
        <f t="shared" si="106"/>
        <v>0</v>
      </c>
      <c r="J144">
        <f t="shared" si="106"/>
        <v>0</v>
      </c>
      <c r="K144">
        <f t="shared" si="106"/>
        <v>0</v>
      </c>
      <c r="L144">
        <f t="shared" si="106"/>
        <v>1</v>
      </c>
      <c r="M144">
        <f t="shared" si="106"/>
        <v>0</v>
      </c>
      <c r="N144">
        <f t="shared" si="106"/>
        <v>0</v>
      </c>
      <c r="O144">
        <f t="shared" si="106"/>
        <v>0</v>
      </c>
      <c r="P144">
        <f t="shared" si="106"/>
        <v>0</v>
      </c>
      <c r="Q144">
        <f t="shared" si="106"/>
        <v>0</v>
      </c>
      <c r="R144">
        <f t="shared" si="106"/>
        <v>0</v>
      </c>
      <c r="S144">
        <f t="shared" si="106"/>
        <v>1</v>
      </c>
    </row>
    <row r="145" spans="1:22" x14ac:dyDescent="0.3">
      <c r="A145" t="s">
        <v>381</v>
      </c>
      <c r="B145">
        <f>IF(B142&gt;=0.232,1,0)</f>
        <v>1</v>
      </c>
      <c r="C145">
        <f t="shared" ref="C145:S145" si="107">IF(C142&gt;=0.232,1,0)</f>
        <v>0</v>
      </c>
      <c r="D145">
        <f t="shared" si="107"/>
        <v>0</v>
      </c>
      <c r="E145">
        <f t="shared" si="107"/>
        <v>0</v>
      </c>
      <c r="F145">
        <f t="shared" si="107"/>
        <v>0</v>
      </c>
      <c r="G145">
        <f t="shared" si="107"/>
        <v>1</v>
      </c>
      <c r="H145">
        <f t="shared" si="107"/>
        <v>1</v>
      </c>
      <c r="I145">
        <f t="shared" si="107"/>
        <v>1</v>
      </c>
      <c r="J145">
        <f t="shared" si="107"/>
        <v>0</v>
      </c>
      <c r="K145">
        <f t="shared" si="107"/>
        <v>0</v>
      </c>
      <c r="L145">
        <f t="shared" si="107"/>
        <v>0</v>
      </c>
      <c r="M145">
        <f t="shared" si="107"/>
        <v>0</v>
      </c>
      <c r="N145">
        <f t="shared" si="107"/>
        <v>0</v>
      </c>
      <c r="O145">
        <f t="shared" si="107"/>
        <v>0</v>
      </c>
      <c r="P145">
        <f t="shared" si="107"/>
        <v>1</v>
      </c>
      <c r="Q145">
        <f t="shared" si="107"/>
        <v>0</v>
      </c>
      <c r="R145">
        <f t="shared" si="107"/>
        <v>0</v>
      </c>
      <c r="S145">
        <f t="shared" si="107"/>
        <v>0</v>
      </c>
    </row>
    <row r="146" spans="1:22" x14ac:dyDescent="0.3">
      <c r="A146" t="s">
        <v>236</v>
      </c>
      <c r="B146">
        <v>3.8029384842223186E-2</v>
      </c>
      <c r="C146">
        <v>3.4428251595827158E-2</v>
      </c>
      <c r="D146">
        <v>1.9803751736918222E-2</v>
      </c>
      <c r="E146">
        <v>2.2506925509465724E-2</v>
      </c>
      <c r="F146">
        <v>2.5899161871374581E-2</v>
      </c>
      <c r="G146">
        <v>3.472529975212426E-2</v>
      </c>
      <c r="H146">
        <v>3.5773230332617187E-2</v>
      </c>
      <c r="I146">
        <v>3.1160487203614667E-2</v>
      </c>
      <c r="J146">
        <v>-4.814729252083573E-3</v>
      </c>
      <c r="K146">
        <v>-1.6892019527129994E-2</v>
      </c>
      <c r="L146">
        <v>2.7858380571501095E-2</v>
      </c>
      <c r="M146">
        <v>2.1198100185058071E-2</v>
      </c>
      <c r="N146">
        <v>2.2122411426561576E-2</v>
      </c>
      <c r="O146">
        <v>2.320334711549429E-2</v>
      </c>
      <c r="P146">
        <v>4.5351185697207794E-2</v>
      </c>
      <c r="Q146">
        <v>2.8492316144400035E-3</v>
      </c>
      <c r="R146">
        <v>7.4862136801141007E-3</v>
      </c>
      <c r="S146">
        <v>2.97449722376994E-2</v>
      </c>
      <c r="T146" s="8">
        <v>2.0152338848953184E-2</v>
      </c>
      <c r="U146" s="8">
        <v>2.4551254493434434E-2</v>
      </c>
      <c r="V146" s="8">
        <v>3.3611310497774036E-2</v>
      </c>
    </row>
    <row r="147" spans="1:22" x14ac:dyDescent="0.3">
      <c r="A147" t="s">
        <v>376</v>
      </c>
      <c r="B147">
        <f>IF(AND(B146&gt;=0.02, B146&lt;0.025),1,0)</f>
        <v>0</v>
      </c>
      <c r="C147">
        <f t="shared" ref="C147:S147" si="108">IF(AND(C146&gt;=0.02, C146&lt;0.025),1,0)</f>
        <v>0</v>
      </c>
      <c r="D147">
        <f t="shared" si="108"/>
        <v>0</v>
      </c>
      <c r="E147">
        <f t="shared" si="108"/>
        <v>1</v>
      </c>
      <c r="F147">
        <f t="shared" si="108"/>
        <v>0</v>
      </c>
      <c r="G147">
        <f t="shared" si="108"/>
        <v>0</v>
      </c>
      <c r="H147">
        <f t="shared" si="108"/>
        <v>0</v>
      </c>
      <c r="I147">
        <f t="shared" si="108"/>
        <v>0</v>
      </c>
      <c r="J147">
        <f t="shared" si="108"/>
        <v>0</v>
      </c>
      <c r="K147">
        <f t="shared" si="108"/>
        <v>0</v>
      </c>
      <c r="L147">
        <f t="shared" si="108"/>
        <v>0</v>
      </c>
      <c r="M147">
        <f t="shared" si="108"/>
        <v>1</v>
      </c>
      <c r="N147">
        <f t="shared" si="108"/>
        <v>1</v>
      </c>
      <c r="O147">
        <f t="shared" si="108"/>
        <v>1</v>
      </c>
      <c r="P147">
        <f t="shared" si="108"/>
        <v>0</v>
      </c>
      <c r="Q147">
        <f t="shared" si="108"/>
        <v>0</v>
      </c>
      <c r="R147">
        <f t="shared" si="108"/>
        <v>0</v>
      </c>
      <c r="S147">
        <f t="shared" si="108"/>
        <v>0</v>
      </c>
    </row>
    <row r="148" spans="1:22" x14ac:dyDescent="0.3">
      <c r="A148" t="s">
        <v>377</v>
      </c>
      <c r="B148">
        <f>IF(AND(B146&gt;=0.025, B146&lt;0.034),1,0)</f>
        <v>0</v>
      </c>
      <c r="C148">
        <f t="shared" ref="C148:S148" si="109">IF(AND(C146&gt;=0.025, C146&lt;0.034),1,0)</f>
        <v>0</v>
      </c>
      <c r="D148">
        <f t="shared" si="109"/>
        <v>0</v>
      </c>
      <c r="E148">
        <f t="shared" si="109"/>
        <v>0</v>
      </c>
      <c r="F148">
        <f t="shared" si="109"/>
        <v>1</v>
      </c>
      <c r="G148">
        <f t="shared" si="109"/>
        <v>0</v>
      </c>
      <c r="H148">
        <f t="shared" si="109"/>
        <v>0</v>
      </c>
      <c r="I148">
        <f t="shared" si="109"/>
        <v>1</v>
      </c>
      <c r="J148">
        <f t="shared" si="109"/>
        <v>0</v>
      </c>
      <c r="K148">
        <f t="shared" si="109"/>
        <v>0</v>
      </c>
      <c r="L148">
        <f t="shared" si="109"/>
        <v>1</v>
      </c>
      <c r="M148">
        <f t="shared" si="109"/>
        <v>0</v>
      </c>
      <c r="N148">
        <f t="shared" si="109"/>
        <v>0</v>
      </c>
      <c r="O148">
        <f t="shared" si="109"/>
        <v>0</v>
      </c>
      <c r="P148">
        <f t="shared" si="109"/>
        <v>0</v>
      </c>
      <c r="Q148">
        <f t="shared" si="109"/>
        <v>0</v>
      </c>
      <c r="R148">
        <f t="shared" si="109"/>
        <v>0</v>
      </c>
      <c r="S148">
        <f t="shared" si="109"/>
        <v>1</v>
      </c>
    </row>
    <row r="149" spans="1:22" x14ac:dyDescent="0.3">
      <c r="A149" t="s">
        <v>378</v>
      </c>
      <c r="B149">
        <f>IF(B146&gt;=0.034,1,0)</f>
        <v>1</v>
      </c>
      <c r="C149">
        <f t="shared" ref="C149:S149" si="110">IF(C146&gt;=0.034,1,0)</f>
        <v>1</v>
      </c>
      <c r="D149">
        <f t="shared" si="110"/>
        <v>0</v>
      </c>
      <c r="E149">
        <f t="shared" si="110"/>
        <v>0</v>
      </c>
      <c r="F149">
        <f t="shared" si="110"/>
        <v>0</v>
      </c>
      <c r="G149">
        <f t="shared" si="110"/>
        <v>1</v>
      </c>
      <c r="H149">
        <f t="shared" si="110"/>
        <v>1</v>
      </c>
      <c r="I149">
        <f t="shared" si="110"/>
        <v>0</v>
      </c>
      <c r="J149">
        <f t="shared" si="110"/>
        <v>0</v>
      </c>
      <c r="K149">
        <f t="shared" si="110"/>
        <v>0</v>
      </c>
      <c r="L149">
        <f t="shared" si="110"/>
        <v>0</v>
      </c>
      <c r="M149">
        <f t="shared" si="110"/>
        <v>0</v>
      </c>
      <c r="N149">
        <f t="shared" si="110"/>
        <v>0</v>
      </c>
      <c r="O149">
        <f t="shared" si="110"/>
        <v>0</v>
      </c>
      <c r="P149">
        <f t="shared" si="110"/>
        <v>1</v>
      </c>
      <c r="Q149">
        <f t="shared" si="110"/>
        <v>0</v>
      </c>
      <c r="R149">
        <f t="shared" si="110"/>
        <v>0</v>
      </c>
      <c r="S149">
        <f t="shared" si="110"/>
        <v>0</v>
      </c>
    </row>
    <row r="150" spans="1:22" x14ac:dyDescent="0.3">
      <c r="A150" t="s">
        <v>237</v>
      </c>
      <c r="B150">
        <v>0.26079020784220791</v>
      </c>
      <c r="C150">
        <v>1.372927778747512</v>
      </c>
      <c r="D150">
        <v>0.14316815223542728</v>
      </c>
      <c r="E150">
        <v>0.40914379528177308</v>
      </c>
      <c r="F150">
        <v>0.83263390534078074</v>
      </c>
      <c r="G150">
        <v>1.4785681250946903</v>
      </c>
      <c r="H150">
        <v>1.4212183936147857</v>
      </c>
      <c r="I150">
        <v>1.0455084105876924</v>
      </c>
      <c r="J150">
        <v>-0.67560072732014398</v>
      </c>
      <c r="K150">
        <v>1.0244217424058226</v>
      </c>
      <c r="L150">
        <v>1.8679310806935736</v>
      </c>
      <c r="M150">
        <v>1.9019169563427865</v>
      </c>
      <c r="N150">
        <v>1.8394676107374826</v>
      </c>
      <c r="O150">
        <v>2.2665244280421528</v>
      </c>
      <c r="P150">
        <v>1.8402019929182656</v>
      </c>
      <c r="Q150">
        <v>81.628892733564015</v>
      </c>
      <c r="R150">
        <v>6.9863870424117591</v>
      </c>
      <c r="S150">
        <v>1.8400035012911011</v>
      </c>
      <c r="T150" s="8">
        <v>0.88058086460704121</v>
      </c>
      <c r="U150" s="8">
        <v>1.449893259354738</v>
      </c>
      <c r="V150" s="8">
        <v>1.8609988087497467</v>
      </c>
    </row>
    <row r="151" spans="1:22" x14ac:dyDescent="0.3">
      <c r="A151" t="s">
        <v>373</v>
      </c>
      <c r="B151">
        <f>IF(AND(B150&gt;=0.88, B150&lt;1.45),1,0)</f>
        <v>0</v>
      </c>
      <c r="C151">
        <f t="shared" ref="C151:S151" si="111">IF(AND(C150&gt;=0.88, C150&lt;1.45),1,0)</f>
        <v>1</v>
      </c>
      <c r="D151">
        <f t="shared" si="111"/>
        <v>0</v>
      </c>
      <c r="E151">
        <f t="shared" si="111"/>
        <v>0</v>
      </c>
      <c r="F151">
        <f t="shared" si="111"/>
        <v>0</v>
      </c>
      <c r="G151">
        <f t="shared" si="111"/>
        <v>0</v>
      </c>
      <c r="H151">
        <f t="shared" si="111"/>
        <v>1</v>
      </c>
      <c r="I151">
        <f t="shared" si="111"/>
        <v>1</v>
      </c>
      <c r="J151">
        <f t="shared" si="111"/>
        <v>0</v>
      </c>
      <c r="K151">
        <f t="shared" si="111"/>
        <v>1</v>
      </c>
      <c r="L151">
        <f t="shared" si="111"/>
        <v>0</v>
      </c>
      <c r="M151">
        <f t="shared" si="111"/>
        <v>0</v>
      </c>
      <c r="N151">
        <f t="shared" si="111"/>
        <v>0</v>
      </c>
      <c r="O151">
        <f t="shared" si="111"/>
        <v>0</v>
      </c>
      <c r="P151">
        <f t="shared" si="111"/>
        <v>0</v>
      </c>
      <c r="Q151">
        <f t="shared" si="111"/>
        <v>0</v>
      </c>
      <c r="R151">
        <f t="shared" si="111"/>
        <v>0</v>
      </c>
      <c r="S151">
        <f t="shared" si="111"/>
        <v>0</v>
      </c>
    </row>
    <row r="152" spans="1:22" x14ac:dyDescent="0.3">
      <c r="A152" t="s">
        <v>374</v>
      </c>
      <c r="B152">
        <f>IF(AND(B150&gt;=1.45, B150&lt;1.86),1,0)</f>
        <v>0</v>
      </c>
      <c r="C152">
        <f t="shared" ref="C152:S152" si="112">IF(AND(C150&gt;=1.45, C150&lt;1.86),1,0)</f>
        <v>0</v>
      </c>
      <c r="D152">
        <f t="shared" si="112"/>
        <v>0</v>
      </c>
      <c r="E152">
        <f t="shared" si="112"/>
        <v>0</v>
      </c>
      <c r="F152">
        <f t="shared" si="112"/>
        <v>0</v>
      </c>
      <c r="G152">
        <f t="shared" si="112"/>
        <v>1</v>
      </c>
      <c r="H152">
        <f t="shared" si="112"/>
        <v>0</v>
      </c>
      <c r="I152">
        <f t="shared" si="112"/>
        <v>0</v>
      </c>
      <c r="J152">
        <f t="shared" si="112"/>
        <v>0</v>
      </c>
      <c r="K152">
        <f t="shared" si="112"/>
        <v>0</v>
      </c>
      <c r="L152">
        <f t="shared" si="112"/>
        <v>0</v>
      </c>
      <c r="M152">
        <f t="shared" si="112"/>
        <v>0</v>
      </c>
      <c r="N152">
        <f t="shared" si="112"/>
        <v>1</v>
      </c>
      <c r="O152">
        <f t="shared" si="112"/>
        <v>0</v>
      </c>
      <c r="P152">
        <f t="shared" si="112"/>
        <v>1</v>
      </c>
      <c r="Q152">
        <f t="shared" si="112"/>
        <v>0</v>
      </c>
      <c r="R152">
        <f t="shared" si="112"/>
        <v>0</v>
      </c>
      <c r="S152">
        <f t="shared" si="112"/>
        <v>1</v>
      </c>
    </row>
    <row r="153" spans="1:22" x14ac:dyDescent="0.3">
      <c r="A153" t="s">
        <v>375</v>
      </c>
      <c r="B153">
        <f>IF(B150&gt;=1.86,1,0)</f>
        <v>0</v>
      </c>
      <c r="C153">
        <f t="shared" ref="C153:S153" si="113">IF(C150&gt;=1.86,1,0)</f>
        <v>0</v>
      </c>
      <c r="D153">
        <f t="shared" si="113"/>
        <v>0</v>
      </c>
      <c r="E153">
        <f t="shared" si="113"/>
        <v>0</v>
      </c>
      <c r="F153">
        <f t="shared" si="113"/>
        <v>0</v>
      </c>
      <c r="G153">
        <f t="shared" si="113"/>
        <v>0</v>
      </c>
      <c r="H153">
        <f t="shared" si="113"/>
        <v>0</v>
      </c>
      <c r="I153">
        <f t="shared" si="113"/>
        <v>0</v>
      </c>
      <c r="J153">
        <f t="shared" si="113"/>
        <v>0</v>
      </c>
      <c r="K153">
        <f t="shared" si="113"/>
        <v>0</v>
      </c>
      <c r="L153">
        <f t="shared" si="113"/>
        <v>1</v>
      </c>
      <c r="M153">
        <f t="shared" si="113"/>
        <v>1</v>
      </c>
      <c r="N153">
        <f t="shared" si="113"/>
        <v>0</v>
      </c>
      <c r="O153">
        <f t="shared" si="113"/>
        <v>1</v>
      </c>
      <c r="P153">
        <f t="shared" si="113"/>
        <v>0</v>
      </c>
      <c r="Q153">
        <f t="shared" si="113"/>
        <v>1</v>
      </c>
      <c r="R153">
        <f t="shared" si="113"/>
        <v>1</v>
      </c>
      <c r="S153">
        <f t="shared" si="113"/>
        <v>0</v>
      </c>
    </row>
    <row r="154" spans="1:22" x14ac:dyDescent="0.3">
      <c r="A154" t="s">
        <v>238</v>
      </c>
      <c r="B154">
        <v>0.27999844103667493</v>
      </c>
      <c r="C154">
        <v>0.24474892476651888</v>
      </c>
      <c r="D154">
        <v>0.1283701503860224</v>
      </c>
      <c r="E154">
        <v>0.18385508310211138</v>
      </c>
      <c r="F154">
        <v>0.18750329347853609</v>
      </c>
      <c r="G154">
        <v>0.26621036533915959</v>
      </c>
      <c r="H154">
        <v>0.26691499664754526</v>
      </c>
      <c r="I154">
        <v>0.28353129459586596</v>
      </c>
      <c r="J154">
        <v>-3.9317046378783096E-2</v>
      </c>
      <c r="K154">
        <v>-0.11974175355835398</v>
      </c>
      <c r="L154">
        <v>0.18873062040891417</v>
      </c>
      <c r="M154">
        <v>0.15392335617748285</v>
      </c>
      <c r="N154">
        <v>0.18125547522985919</v>
      </c>
      <c r="O154">
        <v>0.16727650009766593</v>
      </c>
      <c r="P154">
        <v>0.32181307776224938</v>
      </c>
      <c r="Q154">
        <v>1.8670568829793566E-2</v>
      </c>
      <c r="R154">
        <v>7.1334990820376781E-2</v>
      </c>
      <c r="S154">
        <v>0.21963679019797755</v>
      </c>
      <c r="T154" s="8">
        <v>0.13475845183388752</v>
      </c>
      <c r="U154" s="8">
        <v>0.18567918829032373</v>
      </c>
      <c r="V154" s="8">
        <v>0.2608450051959994</v>
      </c>
    </row>
    <row r="155" spans="1:22" x14ac:dyDescent="0.3">
      <c r="A155" t="s">
        <v>370</v>
      </c>
      <c r="B155">
        <f>IF(AND(B154&gt;=0.135, B154&lt;0.186),1,0)</f>
        <v>0</v>
      </c>
      <c r="C155">
        <f t="shared" ref="C155:S155" si="114">IF(AND(C154&gt;=0.135, C154&lt;0.186),1,0)</f>
        <v>0</v>
      </c>
      <c r="D155">
        <f t="shared" si="114"/>
        <v>0</v>
      </c>
      <c r="E155">
        <f t="shared" si="114"/>
        <v>1</v>
      </c>
      <c r="F155">
        <f t="shared" si="114"/>
        <v>0</v>
      </c>
      <c r="G155">
        <f t="shared" si="114"/>
        <v>0</v>
      </c>
      <c r="H155">
        <f t="shared" si="114"/>
        <v>0</v>
      </c>
      <c r="I155">
        <f t="shared" si="114"/>
        <v>0</v>
      </c>
      <c r="J155">
        <f t="shared" si="114"/>
        <v>0</v>
      </c>
      <c r="K155">
        <f t="shared" si="114"/>
        <v>0</v>
      </c>
      <c r="L155">
        <f t="shared" si="114"/>
        <v>0</v>
      </c>
      <c r="M155">
        <f t="shared" si="114"/>
        <v>1</v>
      </c>
      <c r="N155">
        <f t="shared" si="114"/>
        <v>1</v>
      </c>
      <c r="O155">
        <f t="shared" si="114"/>
        <v>1</v>
      </c>
      <c r="P155">
        <f t="shared" si="114"/>
        <v>0</v>
      </c>
      <c r="Q155">
        <f t="shared" si="114"/>
        <v>0</v>
      </c>
      <c r="R155">
        <f t="shared" si="114"/>
        <v>0</v>
      </c>
      <c r="S155">
        <f t="shared" si="114"/>
        <v>0</v>
      </c>
    </row>
    <row r="156" spans="1:22" x14ac:dyDescent="0.3">
      <c r="A156" t="s">
        <v>371</v>
      </c>
      <c r="B156">
        <f>IF(AND(B154&gt;=0.186, B154&lt;0.261),1,0)</f>
        <v>0</v>
      </c>
      <c r="C156">
        <f t="shared" ref="C156:S156" si="115">IF(AND(C154&gt;=0.186, C154&lt;0.261),1,0)</f>
        <v>1</v>
      </c>
      <c r="D156">
        <f t="shared" si="115"/>
        <v>0</v>
      </c>
      <c r="E156">
        <f t="shared" si="115"/>
        <v>0</v>
      </c>
      <c r="F156">
        <f t="shared" si="115"/>
        <v>1</v>
      </c>
      <c r="G156">
        <f t="shared" si="115"/>
        <v>0</v>
      </c>
      <c r="H156">
        <f t="shared" si="115"/>
        <v>0</v>
      </c>
      <c r="I156">
        <f t="shared" si="115"/>
        <v>0</v>
      </c>
      <c r="J156">
        <f t="shared" si="115"/>
        <v>0</v>
      </c>
      <c r="K156">
        <f t="shared" si="115"/>
        <v>0</v>
      </c>
      <c r="L156">
        <f t="shared" si="115"/>
        <v>1</v>
      </c>
      <c r="M156">
        <f t="shared" si="115"/>
        <v>0</v>
      </c>
      <c r="N156">
        <f t="shared" si="115"/>
        <v>0</v>
      </c>
      <c r="O156">
        <f t="shared" si="115"/>
        <v>0</v>
      </c>
      <c r="P156">
        <f t="shared" si="115"/>
        <v>0</v>
      </c>
      <c r="Q156">
        <f t="shared" si="115"/>
        <v>0</v>
      </c>
      <c r="R156">
        <f t="shared" si="115"/>
        <v>0</v>
      </c>
      <c r="S156">
        <f t="shared" si="115"/>
        <v>1</v>
      </c>
    </row>
    <row r="157" spans="1:22" x14ac:dyDescent="0.3">
      <c r="A157" t="s">
        <v>372</v>
      </c>
      <c r="B157">
        <f>IF(B154&gt;=0.261,1,0)</f>
        <v>1</v>
      </c>
      <c r="C157">
        <f t="shared" ref="C157:S157" si="116">IF(C154&gt;=0.261,1,0)</f>
        <v>0</v>
      </c>
      <c r="D157">
        <f t="shared" si="116"/>
        <v>0</v>
      </c>
      <c r="E157">
        <f t="shared" si="116"/>
        <v>0</v>
      </c>
      <c r="F157">
        <f t="shared" si="116"/>
        <v>0</v>
      </c>
      <c r="G157">
        <f t="shared" si="116"/>
        <v>1</v>
      </c>
      <c r="H157">
        <f t="shared" si="116"/>
        <v>1</v>
      </c>
      <c r="I157">
        <f t="shared" si="116"/>
        <v>1</v>
      </c>
      <c r="J157">
        <f t="shared" si="116"/>
        <v>0</v>
      </c>
      <c r="K157">
        <f t="shared" si="116"/>
        <v>0</v>
      </c>
      <c r="L157">
        <f t="shared" si="116"/>
        <v>0</v>
      </c>
      <c r="M157">
        <f t="shared" si="116"/>
        <v>0</v>
      </c>
      <c r="N157">
        <f t="shared" si="116"/>
        <v>0</v>
      </c>
      <c r="O157">
        <f t="shared" si="116"/>
        <v>0</v>
      </c>
      <c r="P157">
        <f t="shared" si="116"/>
        <v>1</v>
      </c>
      <c r="Q157">
        <f t="shared" si="116"/>
        <v>0</v>
      </c>
      <c r="R157">
        <f t="shared" si="116"/>
        <v>0</v>
      </c>
      <c r="S157">
        <f t="shared" si="116"/>
        <v>0</v>
      </c>
    </row>
    <row r="158" spans="1:22" x14ac:dyDescent="0.3">
      <c r="A158" t="s">
        <v>239</v>
      </c>
      <c r="B158">
        <v>0.23213845361675473</v>
      </c>
      <c r="C158">
        <v>0.16380581745505171</v>
      </c>
      <c r="D158">
        <v>0.20824519339440972</v>
      </c>
      <c r="E158">
        <v>0.12473139724183308</v>
      </c>
      <c r="F158">
        <v>9.6501232917606511E-2</v>
      </c>
      <c r="G158">
        <v>8.8531814234544648E-2</v>
      </c>
      <c r="H158">
        <v>0.12153145521563864</v>
      </c>
      <c r="I158">
        <v>0.12763144339394289</v>
      </c>
      <c r="J158">
        <v>0.11705431441108874</v>
      </c>
      <c r="K158">
        <v>0.10168466407563963</v>
      </c>
      <c r="L158">
        <v>0.20598845941501581</v>
      </c>
      <c r="M158">
        <v>0.14293873425979725</v>
      </c>
      <c r="N158">
        <v>0.13491262433282214</v>
      </c>
      <c r="O158">
        <v>0.1235800022269235</v>
      </c>
      <c r="P158">
        <v>2.3400188786509073</v>
      </c>
      <c r="Q158">
        <v>1.6775686863519775E-2</v>
      </c>
      <c r="R158">
        <v>0.34325564205773418</v>
      </c>
      <c r="S158">
        <v>0.83114478296737204</v>
      </c>
      <c r="T158" s="8">
        <v>0.11817359961222622</v>
      </c>
      <c r="U158" s="8">
        <v>0.13127203386338251</v>
      </c>
      <c r="V158" s="8">
        <v>0.20768100989956123</v>
      </c>
    </row>
    <row r="159" spans="1:22" x14ac:dyDescent="0.3">
      <c r="A159" t="s">
        <v>367</v>
      </c>
      <c r="B159">
        <f>IF(AND(B158&gt;=0.118, B158&lt;0.131),1,0)</f>
        <v>0</v>
      </c>
      <c r="C159">
        <f t="shared" ref="C159:S159" si="117">IF(AND(C158&gt;=0.118, C158&lt;0.131),1,0)</f>
        <v>0</v>
      </c>
      <c r="D159">
        <f t="shared" si="117"/>
        <v>0</v>
      </c>
      <c r="E159">
        <f t="shared" si="117"/>
        <v>1</v>
      </c>
      <c r="F159">
        <f t="shared" si="117"/>
        <v>0</v>
      </c>
      <c r="G159">
        <f t="shared" si="117"/>
        <v>0</v>
      </c>
      <c r="H159">
        <f t="shared" si="117"/>
        <v>1</v>
      </c>
      <c r="I159">
        <f t="shared" si="117"/>
        <v>1</v>
      </c>
      <c r="J159">
        <f t="shared" si="117"/>
        <v>0</v>
      </c>
      <c r="K159">
        <f t="shared" si="117"/>
        <v>0</v>
      </c>
      <c r="L159">
        <f t="shared" si="117"/>
        <v>0</v>
      </c>
      <c r="M159">
        <f t="shared" si="117"/>
        <v>0</v>
      </c>
      <c r="N159">
        <f t="shared" si="117"/>
        <v>0</v>
      </c>
      <c r="O159">
        <f t="shared" si="117"/>
        <v>1</v>
      </c>
      <c r="P159">
        <f t="shared" si="117"/>
        <v>0</v>
      </c>
      <c r="Q159">
        <f t="shared" si="117"/>
        <v>0</v>
      </c>
      <c r="R159">
        <f t="shared" si="117"/>
        <v>0</v>
      </c>
      <c r="S159">
        <f t="shared" si="117"/>
        <v>0</v>
      </c>
    </row>
    <row r="160" spans="1:22" x14ac:dyDescent="0.3">
      <c r="A160" t="s">
        <v>368</v>
      </c>
      <c r="B160">
        <f>IF(AND(B158&gt;=0.131, B158&lt;0.208),1,0)</f>
        <v>0</v>
      </c>
      <c r="C160">
        <f t="shared" ref="C160:S160" si="118">IF(AND(C158&gt;=0.131, C158&lt;0.208),1,0)</f>
        <v>1</v>
      </c>
      <c r="D160">
        <f t="shared" si="118"/>
        <v>0</v>
      </c>
      <c r="E160">
        <f t="shared" si="118"/>
        <v>0</v>
      </c>
      <c r="F160">
        <f t="shared" si="118"/>
        <v>0</v>
      </c>
      <c r="G160">
        <f t="shared" si="118"/>
        <v>0</v>
      </c>
      <c r="H160">
        <f t="shared" si="118"/>
        <v>0</v>
      </c>
      <c r="I160">
        <f t="shared" si="118"/>
        <v>0</v>
      </c>
      <c r="J160">
        <f t="shared" si="118"/>
        <v>0</v>
      </c>
      <c r="K160">
        <f t="shared" si="118"/>
        <v>0</v>
      </c>
      <c r="L160">
        <f t="shared" si="118"/>
        <v>1</v>
      </c>
      <c r="M160">
        <f t="shared" si="118"/>
        <v>1</v>
      </c>
      <c r="N160">
        <f t="shared" si="118"/>
        <v>1</v>
      </c>
      <c r="O160">
        <f t="shared" si="118"/>
        <v>0</v>
      </c>
      <c r="P160">
        <f t="shared" si="118"/>
        <v>0</v>
      </c>
      <c r="Q160">
        <f t="shared" si="118"/>
        <v>0</v>
      </c>
      <c r="R160">
        <f t="shared" si="118"/>
        <v>0</v>
      </c>
      <c r="S160">
        <f t="shared" si="118"/>
        <v>0</v>
      </c>
    </row>
    <row r="161" spans="1:22" x14ac:dyDescent="0.3">
      <c r="A161" t="s">
        <v>369</v>
      </c>
      <c r="B161">
        <f>IF(B158&gt;=0.208,1,0)</f>
        <v>1</v>
      </c>
      <c r="C161">
        <f t="shared" ref="C161:S161" si="119">IF(C158&gt;=0.208,1,0)</f>
        <v>0</v>
      </c>
      <c r="D161">
        <f t="shared" si="119"/>
        <v>1</v>
      </c>
      <c r="E161">
        <f t="shared" si="119"/>
        <v>0</v>
      </c>
      <c r="F161">
        <f t="shared" si="119"/>
        <v>0</v>
      </c>
      <c r="G161">
        <f t="shared" si="119"/>
        <v>0</v>
      </c>
      <c r="H161">
        <f t="shared" si="119"/>
        <v>0</v>
      </c>
      <c r="I161">
        <f t="shared" si="119"/>
        <v>0</v>
      </c>
      <c r="J161">
        <f t="shared" si="119"/>
        <v>0</v>
      </c>
      <c r="K161">
        <f t="shared" si="119"/>
        <v>0</v>
      </c>
      <c r="L161">
        <f t="shared" si="119"/>
        <v>0</v>
      </c>
      <c r="M161">
        <f t="shared" si="119"/>
        <v>0</v>
      </c>
      <c r="N161">
        <f t="shared" si="119"/>
        <v>0</v>
      </c>
      <c r="O161">
        <f t="shared" si="119"/>
        <v>0</v>
      </c>
      <c r="P161">
        <f t="shared" si="119"/>
        <v>1</v>
      </c>
      <c r="Q161">
        <f t="shared" si="119"/>
        <v>0</v>
      </c>
      <c r="R161">
        <f t="shared" si="119"/>
        <v>1</v>
      </c>
      <c r="S161">
        <f t="shared" si="119"/>
        <v>1</v>
      </c>
    </row>
    <row r="162" spans="1:22" x14ac:dyDescent="0.3">
      <c r="A162" t="s">
        <v>240</v>
      </c>
      <c r="B162">
        <v>0.17814681507362828</v>
      </c>
      <c r="C162">
        <v>0.28358112001387425</v>
      </c>
      <c r="D162">
        <v>4.9622638960892841E-2</v>
      </c>
      <c r="E162">
        <v>6.0245585916105258E-2</v>
      </c>
      <c r="F162">
        <v>2.3253840452607786E-2</v>
      </c>
      <c r="G162">
        <v>0.16142432768082954</v>
      </c>
      <c r="H162">
        <v>-4.6291014357020467E-2</v>
      </c>
      <c r="I162">
        <v>0.42210241410633609</v>
      </c>
      <c r="J162">
        <v>0.41687883581618962</v>
      </c>
      <c r="K162">
        <v>0.25927950301167818</v>
      </c>
      <c r="L162">
        <v>0.37578501818409915</v>
      </c>
      <c r="M162">
        <v>0.45421228850008188</v>
      </c>
      <c r="N162">
        <v>0.24865907099916415</v>
      </c>
      <c r="O162">
        <v>0.44211072260748574</v>
      </c>
      <c r="P162">
        <v>0.55523729814291245</v>
      </c>
      <c r="Q162">
        <v>0.51554660038279043</v>
      </c>
      <c r="R162">
        <v>0.56577328908080848</v>
      </c>
      <c r="S162">
        <v>1.0592111276152678</v>
      </c>
      <c r="T162" s="8">
        <v>0.16560494952902921</v>
      </c>
      <c r="U162" s="8">
        <v>0.3296830690989867</v>
      </c>
      <c r="V162" s="8">
        <v>0.45118689702693282</v>
      </c>
    </row>
    <row r="163" spans="1:22" x14ac:dyDescent="0.3">
      <c r="A163" t="s">
        <v>397</v>
      </c>
      <c r="B163">
        <f>IF(AND(B162&gt;=0.166, B162&lt;0.33),1,0)</f>
        <v>1</v>
      </c>
      <c r="C163">
        <f t="shared" ref="C163:S163" si="120">IF(AND(C162&gt;=0.166, C162&lt;0.33),1,0)</f>
        <v>1</v>
      </c>
      <c r="D163">
        <f t="shared" si="120"/>
        <v>0</v>
      </c>
      <c r="E163">
        <f t="shared" si="120"/>
        <v>0</v>
      </c>
      <c r="F163">
        <f t="shared" si="120"/>
        <v>0</v>
      </c>
      <c r="G163">
        <f t="shared" si="120"/>
        <v>0</v>
      </c>
      <c r="H163">
        <f t="shared" si="120"/>
        <v>0</v>
      </c>
      <c r="I163">
        <f t="shared" si="120"/>
        <v>0</v>
      </c>
      <c r="J163">
        <f t="shared" si="120"/>
        <v>0</v>
      </c>
      <c r="K163">
        <f t="shared" si="120"/>
        <v>1</v>
      </c>
      <c r="L163">
        <f t="shared" si="120"/>
        <v>0</v>
      </c>
      <c r="M163">
        <f t="shared" si="120"/>
        <v>0</v>
      </c>
      <c r="N163">
        <f t="shared" si="120"/>
        <v>1</v>
      </c>
      <c r="O163">
        <f t="shared" si="120"/>
        <v>0</v>
      </c>
      <c r="P163">
        <f t="shared" si="120"/>
        <v>0</v>
      </c>
      <c r="Q163">
        <f t="shared" si="120"/>
        <v>0</v>
      </c>
      <c r="R163">
        <f t="shared" si="120"/>
        <v>0</v>
      </c>
      <c r="S163">
        <f t="shared" si="120"/>
        <v>0</v>
      </c>
    </row>
    <row r="164" spans="1:22" x14ac:dyDescent="0.3">
      <c r="A164" t="s">
        <v>398</v>
      </c>
      <c r="B164">
        <f>IF(AND(B162&gt;=0.33, B162&lt;0.451),1,0)</f>
        <v>0</v>
      </c>
      <c r="C164">
        <f t="shared" ref="C164:S164" si="121">IF(AND(C162&gt;=0.33, C162&lt;0.451),1,0)</f>
        <v>0</v>
      </c>
      <c r="D164">
        <f t="shared" si="121"/>
        <v>0</v>
      </c>
      <c r="E164">
        <f t="shared" si="121"/>
        <v>0</v>
      </c>
      <c r="F164">
        <f t="shared" si="121"/>
        <v>0</v>
      </c>
      <c r="G164">
        <f t="shared" si="121"/>
        <v>0</v>
      </c>
      <c r="H164">
        <f t="shared" si="121"/>
        <v>0</v>
      </c>
      <c r="I164">
        <f t="shared" si="121"/>
        <v>1</v>
      </c>
      <c r="J164">
        <f t="shared" si="121"/>
        <v>1</v>
      </c>
      <c r="K164">
        <f t="shared" si="121"/>
        <v>0</v>
      </c>
      <c r="L164">
        <f t="shared" si="121"/>
        <v>1</v>
      </c>
      <c r="M164">
        <f t="shared" si="121"/>
        <v>0</v>
      </c>
      <c r="N164">
        <f t="shared" si="121"/>
        <v>0</v>
      </c>
      <c r="O164">
        <f t="shared" si="121"/>
        <v>1</v>
      </c>
      <c r="P164">
        <f t="shared" si="121"/>
        <v>0</v>
      </c>
      <c r="Q164">
        <f t="shared" si="121"/>
        <v>0</v>
      </c>
      <c r="R164">
        <f t="shared" si="121"/>
        <v>0</v>
      </c>
      <c r="S164">
        <f t="shared" si="121"/>
        <v>0</v>
      </c>
    </row>
    <row r="165" spans="1:22" x14ac:dyDescent="0.3">
      <c r="A165" t="s">
        <v>399</v>
      </c>
      <c r="B165">
        <f>IF(B162&gt;=0.451,1,0)</f>
        <v>0</v>
      </c>
      <c r="C165">
        <f t="shared" ref="C165:S165" si="122">IF(C162&gt;=0.451,1,0)</f>
        <v>0</v>
      </c>
      <c r="D165">
        <f t="shared" si="122"/>
        <v>0</v>
      </c>
      <c r="E165">
        <f t="shared" si="122"/>
        <v>0</v>
      </c>
      <c r="F165">
        <f t="shared" si="122"/>
        <v>0</v>
      </c>
      <c r="G165">
        <f t="shared" si="122"/>
        <v>0</v>
      </c>
      <c r="H165">
        <f t="shared" si="122"/>
        <v>0</v>
      </c>
      <c r="I165">
        <f t="shared" si="122"/>
        <v>0</v>
      </c>
      <c r="J165">
        <f t="shared" si="122"/>
        <v>0</v>
      </c>
      <c r="K165">
        <f t="shared" si="122"/>
        <v>0</v>
      </c>
      <c r="L165">
        <f t="shared" si="122"/>
        <v>0</v>
      </c>
      <c r="M165">
        <f t="shared" si="122"/>
        <v>1</v>
      </c>
      <c r="N165">
        <f t="shared" si="122"/>
        <v>0</v>
      </c>
      <c r="O165">
        <f t="shared" si="122"/>
        <v>0</v>
      </c>
      <c r="P165">
        <f t="shared" si="122"/>
        <v>1</v>
      </c>
      <c r="Q165">
        <f t="shared" si="122"/>
        <v>1</v>
      </c>
      <c r="R165">
        <f t="shared" si="122"/>
        <v>1</v>
      </c>
      <c r="S165">
        <f t="shared" si="122"/>
        <v>1</v>
      </c>
    </row>
    <row r="166" spans="1:22" x14ac:dyDescent="0.3">
      <c r="A166" t="s">
        <v>241</v>
      </c>
      <c r="B166">
        <v>8.8476755883920011E-2</v>
      </c>
      <c r="C166">
        <v>6.5410892694129877E-2</v>
      </c>
      <c r="D166">
        <v>8.7416707136290808E-2</v>
      </c>
      <c r="E166">
        <v>5.9205906771246368E-2</v>
      </c>
      <c r="F166">
        <v>4.72489726838035E-2</v>
      </c>
      <c r="G166">
        <v>4.7449116697248779E-2</v>
      </c>
      <c r="H166">
        <v>6.8577344384473271E-2</v>
      </c>
      <c r="I166">
        <v>7.6896035048192826E-2</v>
      </c>
      <c r="J166">
        <v>7.2515580571953828E-2</v>
      </c>
      <c r="K166">
        <v>4.981866781733281E-2</v>
      </c>
      <c r="L166">
        <v>6.7227507002996498E-2</v>
      </c>
      <c r="M166">
        <v>4.9452877824503839E-2</v>
      </c>
      <c r="N166">
        <v>5.2941836807539486E-2</v>
      </c>
      <c r="O166">
        <v>4.3396001258081775E-2</v>
      </c>
      <c r="P166">
        <v>0.10478329612189752</v>
      </c>
      <c r="Q166">
        <v>3.9061622243363704E-4</v>
      </c>
      <c r="R166">
        <v>6.1095884330464381E-3</v>
      </c>
      <c r="S166">
        <v>0.1117662069245839</v>
      </c>
      <c r="T166" s="8">
        <v>4.7950056979062544E-2</v>
      </c>
      <c r="U166" s="8">
        <v>6.2308399732688119E-2</v>
      </c>
      <c r="V166" s="8">
        <v>7.5800921429133084E-2</v>
      </c>
    </row>
    <row r="167" spans="1:22" x14ac:dyDescent="0.3">
      <c r="A167" t="s">
        <v>424</v>
      </c>
      <c r="B167">
        <f>IF(AND(B166&gt;=0.048, B166&lt;0.062),1,0)</f>
        <v>0</v>
      </c>
      <c r="C167">
        <f t="shared" ref="C167:S167" si="123">IF(AND(C166&gt;=0.048, C166&lt;0.062),1,0)</f>
        <v>0</v>
      </c>
      <c r="D167">
        <f t="shared" si="123"/>
        <v>0</v>
      </c>
      <c r="E167">
        <f t="shared" si="123"/>
        <v>1</v>
      </c>
      <c r="F167">
        <f t="shared" si="123"/>
        <v>0</v>
      </c>
      <c r="G167">
        <f t="shared" si="123"/>
        <v>0</v>
      </c>
      <c r="H167">
        <f t="shared" si="123"/>
        <v>0</v>
      </c>
      <c r="I167">
        <f t="shared" si="123"/>
        <v>0</v>
      </c>
      <c r="J167">
        <f t="shared" si="123"/>
        <v>0</v>
      </c>
      <c r="K167">
        <f t="shared" si="123"/>
        <v>1</v>
      </c>
      <c r="L167">
        <f t="shared" si="123"/>
        <v>0</v>
      </c>
      <c r="M167">
        <f t="shared" si="123"/>
        <v>1</v>
      </c>
      <c r="N167">
        <f t="shared" si="123"/>
        <v>1</v>
      </c>
      <c r="O167">
        <f t="shared" si="123"/>
        <v>0</v>
      </c>
      <c r="P167">
        <f t="shared" si="123"/>
        <v>0</v>
      </c>
      <c r="Q167">
        <f t="shared" si="123"/>
        <v>0</v>
      </c>
      <c r="R167">
        <f t="shared" si="123"/>
        <v>0</v>
      </c>
      <c r="S167">
        <f t="shared" si="123"/>
        <v>0</v>
      </c>
    </row>
    <row r="168" spans="1:22" x14ac:dyDescent="0.3">
      <c r="A168" t="s">
        <v>425</v>
      </c>
      <c r="B168">
        <f>IF(AND(B166&gt;=0.062, B166&lt;0.076),1,0)</f>
        <v>0</v>
      </c>
      <c r="C168">
        <f t="shared" ref="C168:S168" si="124">IF(AND(C166&gt;=0.062, C166&lt;0.076),1,0)</f>
        <v>1</v>
      </c>
      <c r="D168">
        <f t="shared" si="124"/>
        <v>0</v>
      </c>
      <c r="E168">
        <f t="shared" si="124"/>
        <v>0</v>
      </c>
      <c r="F168">
        <f t="shared" si="124"/>
        <v>0</v>
      </c>
      <c r="G168">
        <f t="shared" si="124"/>
        <v>0</v>
      </c>
      <c r="H168">
        <f t="shared" si="124"/>
        <v>1</v>
      </c>
      <c r="I168">
        <f t="shared" si="124"/>
        <v>0</v>
      </c>
      <c r="J168">
        <f t="shared" si="124"/>
        <v>1</v>
      </c>
      <c r="K168">
        <f t="shared" si="124"/>
        <v>0</v>
      </c>
      <c r="L168">
        <f t="shared" si="124"/>
        <v>1</v>
      </c>
      <c r="M168">
        <f t="shared" si="124"/>
        <v>0</v>
      </c>
      <c r="N168">
        <f t="shared" si="124"/>
        <v>0</v>
      </c>
      <c r="O168">
        <f t="shared" si="124"/>
        <v>0</v>
      </c>
      <c r="P168">
        <f t="shared" si="124"/>
        <v>0</v>
      </c>
      <c r="Q168">
        <f t="shared" si="124"/>
        <v>0</v>
      </c>
      <c r="R168">
        <f t="shared" si="124"/>
        <v>0</v>
      </c>
      <c r="S168">
        <f t="shared" si="124"/>
        <v>0</v>
      </c>
    </row>
    <row r="169" spans="1:22" x14ac:dyDescent="0.3">
      <c r="A169" t="s">
        <v>426</v>
      </c>
      <c r="B169">
        <f>IF(B166&gt;=0.076,1,0)</f>
        <v>1</v>
      </c>
      <c r="C169">
        <f t="shared" ref="C169:S169" si="125">IF(C166&gt;=0.076,1,0)</f>
        <v>0</v>
      </c>
      <c r="D169">
        <f t="shared" si="125"/>
        <v>1</v>
      </c>
      <c r="E169">
        <f t="shared" si="125"/>
        <v>0</v>
      </c>
      <c r="F169">
        <f t="shared" si="125"/>
        <v>0</v>
      </c>
      <c r="G169">
        <f t="shared" si="125"/>
        <v>0</v>
      </c>
      <c r="H169">
        <f t="shared" si="125"/>
        <v>0</v>
      </c>
      <c r="I169">
        <f t="shared" si="125"/>
        <v>1</v>
      </c>
      <c r="J169">
        <f t="shared" si="125"/>
        <v>0</v>
      </c>
      <c r="K169">
        <f t="shared" si="125"/>
        <v>0</v>
      </c>
      <c r="L169">
        <f t="shared" si="125"/>
        <v>0</v>
      </c>
      <c r="M169">
        <f t="shared" si="125"/>
        <v>0</v>
      </c>
      <c r="N169">
        <f t="shared" si="125"/>
        <v>0</v>
      </c>
      <c r="O169">
        <f t="shared" si="125"/>
        <v>0</v>
      </c>
      <c r="P169">
        <f t="shared" si="125"/>
        <v>1</v>
      </c>
      <c r="Q169">
        <f t="shared" si="125"/>
        <v>0</v>
      </c>
      <c r="R169">
        <f t="shared" si="125"/>
        <v>0</v>
      </c>
      <c r="S169">
        <f t="shared" si="125"/>
        <v>1</v>
      </c>
    </row>
    <row r="170" spans="1:22" x14ac:dyDescent="0.3">
      <c r="A170" t="s">
        <v>242</v>
      </c>
      <c r="B170">
        <v>0.16309314086472543</v>
      </c>
      <c r="C170">
        <v>0.11917263951788867</v>
      </c>
      <c r="D170">
        <v>0.14512909325758272</v>
      </c>
      <c r="E170">
        <v>0.11526858951299793</v>
      </c>
      <c r="F170">
        <v>7.7904776115077845E-2</v>
      </c>
      <c r="G170">
        <v>8.3820888818634712E-2</v>
      </c>
      <c r="H170">
        <v>0.11361786032807709</v>
      </c>
      <c r="I170">
        <v>0.14470628918684469</v>
      </c>
      <c r="J170">
        <v>0.12324682131036742</v>
      </c>
      <c r="K170">
        <v>8.6457775489541311E-2</v>
      </c>
      <c r="L170">
        <v>0.12131219126592639</v>
      </c>
      <c r="M170">
        <v>9.5309857341469864E-2</v>
      </c>
      <c r="N170">
        <v>0.11395082845042956</v>
      </c>
      <c r="O170">
        <v>8.7414568002515305E-2</v>
      </c>
      <c r="P170">
        <v>0.20653171461336031</v>
      </c>
      <c r="Q170">
        <v>7.7777030209244438E-4</v>
      </c>
      <c r="R170">
        <v>1.8094465272213197E-2</v>
      </c>
      <c r="S170">
        <v>0.13781882719444707</v>
      </c>
      <c r="T170" s="8">
        <v>8.6696973617784806E-2</v>
      </c>
      <c r="U170" s="8">
        <v>0.11460970898171374</v>
      </c>
      <c r="V170" s="8">
        <v>0.13417582572342715</v>
      </c>
    </row>
    <row r="171" spans="1:22" x14ac:dyDescent="0.3">
      <c r="A171" t="s">
        <v>421</v>
      </c>
      <c r="B171">
        <f>IF(AND(B170&gt;=0.087, B170&lt;0.115),1,0)</f>
        <v>0</v>
      </c>
      <c r="C171">
        <f t="shared" ref="C171:S171" si="126">IF(AND(C170&gt;=0.087, C170&lt;0.115),1,0)</f>
        <v>0</v>
      </c>
      <c r="D171">
        <f t="shared" si="126"/>
        <v>0</v>
      </c>
      <c r="E171">
        <f t="shared" si="126"/>
        <v>0</v>
      </c>
      <c r="F171">
        <f t="shared" si="126"/>
        <v>0</v>
      </c>
      <c r="G171">
        <f t="shared" si="126"/>
        <v>0</v>
      </c>
      <c r="H171">
        <f t="shared" si="126"/>
        <v>1</v>
      </c>
      <c r="I171">
        <f t="shared" si="126"/>
        <v>0</v>
      </c>
      <c r="J171">
        <f t="shared" si="126"/>
        <v>0</v>
      </c>
      <c r="K171">
        <f t="shared" si="126"/>
        <v>0</v>
      </c>
      <c r="L171">
        <f t="shared" si="126"/>
        <v>0</v>
      </c>
      <c r="M171">
        <f t="shared" si="126"/>
        <v>1</v>
      </c>
      <c r="N171">
        <f t="shared" si="126"/>
        <v>1</v>
      </c>
      <c r="O171">
        <f t="shared" si="126"/>
        <v>1</v>
      </c>
      <c r="P171">
        <f t="shared" si="126"/>
        <v>0</v>
      </c>
      <c r="Q171">
        <f t="shared" si="126"/>
        <v>0</v>
      </c>
      <c r="R171">
        <f t="shared" si="126"/>
        <v>0</v>
      </c>
      <c r="S171">
        <f t="shared" si="126"/>
        <v>0</v>
      </c>
    </row>
    <row r="172" spans="1:22" x14ac:dyDescent="0.3">
      <c r="A172" t="s">
        <v>422</v>
      </c>
      <c r="B172">
        <f>IF(AND(B170&gt;=0.115, B170&lt;0.134),1,0)</f>
        <v>0</v>
      </c>
      <c r="C172">
        <f t="shared" ref="C172:S172" si="127">IF(AND(C170&gt;=0.115, C170&lt;0.134),1,0)</f>
        <v>1</v>
      </c>
      <c r="D172">
        <f t="shared" si="127"/>
        <v>0</v>
      </c>
      <c r="E172">
        <f t="shared" si="127"/>
        <v>1</v>
      </c>
      <c r="F172">
        <f t="shared" si="127"/>
        <v>0</v>
      </c>
      <c r="G172">
        <f t="shared" si="127"/>
        <v>0</v>
      </c>
      <c r="H172">
        <f t="shared" si="127"/>
        <v>0</v>
      </c>
      <c r="I172">
        <f t="shared" si="127"/>
        <v>0</v>
      </c>
      <c r="J172">
        <f t="shared" si="127"/>
        <v>1</v>
      </c>
      <c r="K172">
        <f t="shared" si="127"/>
        <v>0</v>
      </c>
      <c r="L172">
        <f t="shared" si="127"/>
        <v>1</v>
      </c>
      <c r="M172">
        <f t="shared" si="127"/>
        <v>0</v>
      </c>
      <c r="N172">
        <f t="shared" si="127"/>
        <v>0</v>
      </c>
      <c r="O172">
        <f t="shared" si="127"/>
        <v>0</v>
      </c>
      <c r="P172">
        <f t="shared" si="127"/>
        <v>0</v>
      </c>
      <c r="Q172">
        <f t="shared" si="127"/>
        <v>0</v>
      </c>
      <c r="R172">
        <f t="shared" si="127"/>
        <v>0</v>
      </c>
      <c r="S172">
        <f t="shared" si="127"/>
        <v>0</v>
      </c>
    </row>
    <row r="173" spans="1:22" x14ac:dyDescent="0.3">
      <c r="A173" t="s">
        <v>423</v>
      </c>
      <c r="B173">
        <f>IF(B170&gt;=0.134,1,0)</f>
        <v>1</v>
      </c>
      <c r="C173">
        <f t="shared" ref="C173:S173" si="128">IF(C170&gt;=0.134,1,0)</f>
        <v>0</v>
      </c>
      <c r="D173">
        <f t="shared" si="128"/>
        <v>1</v>
      </c>
      <c r="E173">
        <f t="shared" si="128"/>
        <v>0</v>
      </c>
      <c r="F173">
        <f t="shared" si="128"/>
        <v>0</v>
      </c>
      <c r="G173">
        <f t="shared" si="128"/>
        <v>0</v>
      </c>
      <c r="H173">
        <f t="shared" si="128"/>
        <v>0</v>
      </c>
      <c r="I173">
        <f t="shared" si="128"/>
        <v>1</v>
      </c>
      <c r="J173">
        <f t="shared" si="128"/>
        <v>0</v>
      </c>
      <c r="K173">
        <f t="shared" si="128"/>
        <v>0</v>
      </c>
      <c r="L173">
        <f t="shared" si="128"/>
        <v>0</v>
      </c>
      <c r="M173">
        <f t="shared" si="128"/>
        <v>0</v>
      </c>
      <c r="N173">
        <f t="shared" si="128"/>
        <v>0</v>
      </c>
      <c r="O173">
        <f t="shared" si="128"/>
        <v>0</v>
      </c>
      <c r="P173">
        <f t="shared" si="128"/>
        <v>1</v>
      </c>
      <c r="Q173">
        <f t="shared" si="128"/>
        <v>0</v>
      </c>
      <c r="R173">
        <f t="shared" si="128"/>
        <v>0</v>
      </c>
      <c r="S173">
        <f t="shared" si="128"/>
        <v>1</v>
      </c>
    </row>
    <row r="174" spans="1:22" x14ac:dyDescent="0.3">
      <c r="A174" t="s">
        <v>243</v>
      </c>
      <c r="B174">
        <v>2.1744913969214814E-2</v>
      </c>
      <c r="C174">
        <v>3.5751698058236504E-2</v>
      </c>
      <c r="D174">
        <v>6.9411767043267457E-3</v>
      </c>
      <c r="E174">
        <v>6.666520989648342E-3</v>
      </c>
      <c r="F174">
        <v>2.8426056552032864E-3</v>
      </c>
      <c r="G174">
        <v>1.8214863032173643E-2</v>
      </c>
      <c r="H174">
        <v>-5.4089525934600492E-3</v>
      </c>
      <c r="I174">
        <v>4.0554966445743072E-2</v>
      </c>
      <c r="J174">
        <v>4.5131355106634852E-2</v>
      </c>
      <c r="K174">
        <v>3.2629510423911108E-2</v>
      </c>
      <c r="L174">
        <v>4.99440927464634E-2</v>
      </c>
      <c r="M174">
        <v>5.6618432547979797E-2</v>
      </c>
      <c r="N174">
        <v>2.7263498984736866E-2</v>
      </c>
      <c r="O174">
        <v>5.5579513447699666E-2</v>
      </c>
      <c r="P174">
        <v>7.1762287057098556E-2</v>
      </c>
      <c r="Q174">
        <v>7.1219693474626422E-2</v>
      </c>
      <c r="R174">
        <v>5.4759501246561218E-2</v>
      </c>
      <c r="S174">
        <v>0.12985922919654672</v>
      </c>
      <c r="T174" s="8">
        <v>1.9097375766433937E-2</v>
      </c>
      <c r="U174" s="8">
        <v>3.8153332251989788E-2</v>
      </c>
      <c r="V174" s="8">
        <v>5.5374510397415054E-2</v>
      </c>
    </row>
    <row r="175" spans="1:22" x14ac:dyDescent="0.3">
      <c r="A175" t="s">
        <v>418</v>
      </c>
      <c r="B175">
        <f>IF(AND(B174&gt;=0.019, B174&lt;0.038),1,0)</f>
        <v>1</v>
      </c>
      <c r="C175">
        <f t="shared" ref="C175:S175" si="129">IF(AND(C174&gt;=0.019, C174&lt;0.038),1,0)</f>
        <v>1</v>
      </c>
      <c r="D175">
        <f t="shared" si="129"/>
        <v>0</v>
      </c>
      <c r="E175">
        <f t="shared" si="129"/>
        <v>0</v>
      </c>
      <c r="F175">
        <f t="shared" si="129"/>
        <v>0</v>
      </c>
      <c r="G175">
        <f t="shared" si="129"/>
        <v>0</v>
      </c>
      <c r="H175">
        <f t="shared" si="129"/>
        <v>0</v>
      </c>
      <c r="I175">
        <f t="shared" si="129"/>
        <v>0</v>
      </c>
      <c r="J175">
        <f t="shared" si="129"/>
        <v>0</v>
      </c>
      <c r="K175">
        <f t="shared" si="129"/>
        <v>1</v>
      </c>
      <c r="L175">
        <f t="shared" si="129"/>
        <v>0</v>
      </c>
      <c r="M175">
        <f t="shared" si="129"/>
        <v>0</v>
      </c>
      <c r="N175">
        <f t="shared" si="129"/>
        <v>1</v>
      </c>
      <c r="O175">
        <f t="shared" si="129"/>
        <v>0</v>
      </c>
      <c r="P175">
        <f t="shared" si="129"/>
        <v>0</v>
      </c>
      <c r="Q175">
        <f t="shared" si="129"/>
        <v>0</v>
      </c>
      <c r="R175">
        <f t="shared" si="129"/>
        <v>0</v>
      </c>
      <c r="S175">
        <f t="shared" si="129"/>
        <v>0</v>
      </c>
    </row>
    <row r="176" spans="1:22" x14ac:dyDescent="0.3">
      <c r="A176" t="s">
        <v>419</v>
      </c>
      <c r="B176">
        <f>IF(AND(B174&gt;=0.038, B174&lt;0.055),1,0)</f>
        <v>0</v>
      </c>
      <c r="C176">
        <f t="shared" ref="C176:S176" si="130">IF(AND(C174&gt;=0.038, C174&lt;0.055),1,0)</f>
        <v>0</v>
      </c>
      <c r="D176">
        <f t="shared" si="130"/>
        <v>0</v>
      </c>
      <c r="E176">
        <f t="shared" si="130"/>
        <v>0</v>
      </c>
      <c r="F176">
        <f t="shared" si="130"/>
        <v>0</v>
      </c>
      <c r="G176">
        <f t="shared" si="130"/>
        <v>0</v>
      </c>
      <c r="H176">
        <f t="shared" si="130"/>
        <v>0</v>
      </c>
      <c r="I176">
        <f t="shared" si="130"/>
        <v>1</v>
      </c>
      <c r="J176">
        <f t="shared" si="130"/>
        <v>1</v>
      </c>
      <c r="K176">
        <f t="shared" si="130"/>
        <v>0</v>
      </c>
      <c r="L176">
        <f t="shared" si="130"/>
        <v>1</v>
      </c>
      <c r="M176">
        <f t="shared" si="130"/>
        <v>0</v>
      </c>
      <c r="N176">
        <f t="shared" si="130"/>
        <v>0</v>
      </c>
      <c r="O176">
        <f t="shared" si="130"/>
        <v>0</v>
      </c>
      <c r="P176">
        <f t="shared" si="130"/>
        <v>0</v>
      </c>
      <c r="Q176">
        <f t="shared" si="130"/>
        <v>0</v>
      </c>
      <c r="R176">
        <f t="shared" si="130"/>
        <v>1</v>
      </c>
      <c r="S176">
        <f t="shared" si="130"/>
        <v>0</v>
      </c>
    </row>
    <row r="177" spans="1:22" x14ac:dyDescent="0.3">
      <c r="A177" t="s">
        <v>420</v>
      </c>
      <c r="B177">
        <f>IF(B174&gt;=0.055,1,0)</f>
        <v>0</v>
      </c>
      <c r="C177">
        <f t="shared" ref="C177:S177" si="131">IF(C174&gt;=0.055,1,0)</f>
        <v>0</v>
      </c>
      <c r="D177">
        <f t="shared" si="131"/>
        <v>0</v>
      </c>
      <c r="E177">
        <f t="shared" si="131"/>
        <v>0</v>
      </c>
      <c r="F177">
        <f t="shared" si="131"/>
        <v>0</v>
      </c>
      <c r="G177">
        <f t="shared" si="131"/>
        <v>0</v>
      </c>
      <c r="H177">
        <f t="shared" si="131"/>
        <v>0</v>
      </c>
      <c r="I177">
        <f t="shared" si="131"/>
        <v>0</v>
      </c>
      <c r="J177">
        <f t="shared" si="131"/>
        <v>0</v>
      </c>
      <c r="K177">
        <f t="shared" si="131"/>
        <v>0</v>
      </c>
      <c r="L177">
        <f t="shared" si="131"/>
        <v>0</v>
      </c>
      <c r="M177">
        <f t="shared" si="131"/>
        <v>1</v>
      </c>
      <c r="N177">
        <f t="shared" si="131"/>
        <v>0</v>
      </c>
      <c r="O177">
        <f t="shared" si="131"/>
        <v>1</v>
      </c>
      <c r="P177">
        <f t="shared" si="131"/>
        <v>1</v>
      </c>
      <c r="Q177">
        <f t="shared" si="131"/>
        <v>1</v>
      </c>
      <c r="R177">
        <f t="shared" si="131"/>
        <v>0</v>
      </c>
      <c r="S177">
        <f t="shared" si="131"/>
        <v>1</v>
      </c>
    </row>
    <row r="178" spans="1:22" x14ac:dyDescent="0.3">
      <c r="A178" t="s">
        <v>244</v>
      </c>
      <c r="B178">
        <v>3.1935386666666665</v>
      </c>
      <c r="C178">
        <v>4.9359653333333338</v>
      </c>
      <c r="D178">
        <v>0.95028266666666672</v>
      </c>
      <c r="E178">
        <v>0.88026400000000005</v>
      </c>
      <c r="F178">
        <v>0.36244266666666669</v>
      </c>
      <c r="G178">
        <v>2.3008373333333334</v>
      </c>
      <c r="H178">
        <v>-0.69592799999999999</v>
      </c>
      <c r="I178">
        <v>5.1040320000000001</v>
      </c>
      <c r="J178">
        <v>5.4932613333333338</v>
      </c>
      <c r="K178">
        <v>3.6583093333333334</v>
      </c>
      <c r="L178">
        <v>5.2399653333333331</v>
      </c>
      <c r="M178">
        <v>5.6492719999999998</v>
      </c>
      <c r="N178">
        <v>2.6401413333333332</v>
      </c>
      <c r="O178">
        <v>5.0941200000000002</v>
      </c>
      <c r="P178">
        <v>6.3545413333333336</v>
      </c>
      <c r="Q178">
        <v>5.4059226666666671</v>
      </c>
      <c r="R178">
        <v>3.8048479999999998</v>
      </c>
      <c r="S178">
        <v>8.5913546666666658</v>
      </c>
      <c r="T178" s="8">
        <v>2.3856633333333335</v>
      </c>
      <c r="U178" s="8">
        <v>4.3704066666666668</v>
      </c>
      <c r="V178" s="8">
        <v>5.3644333333333334</v>
      </c>
    </row>
    <row r="179" spans="1:22" x14ac:dyDescent="0.3">
      <c r="A179" t="s">
        <v>415</v>
      </c>
      <c r="B179">
        <f>IF(AND(B178&gt;=2.386, B178&lt;4.37),1,0)</f>
        <v>1</v>
      </c>
      <c r="C179">
        <f t="shared" ref="C179:S179" si="132">IF(AND(C178&gt;=2.386, C178&lt;4.37),1,0)</f>
        <v>0</v>
      </c>
      <c r="D179">
        <f t="shared" si="132"/>
        <v>0</v>
      </c>
      <c r="E179">
        <f t="shared" si="132"/>
        <v>0</v>
      </c>
      <c r="F179">
        <f t="shared" si="132"/>
        <v>0</v>
      </c>
      <c r="G179">
        <f t="shared" si="132"/>
        <v>0</v>
      </c>
      <c r="H179">
        <f t="shared" si="132"/>
        <v>0</v>
      </c>
      <c r="I179">
        <f t="shared" si="132"/>
        <v>0</v>
      </c>
      <c r="J179">
        <f t="shared" si="132"/>
        <v>0</v>
      </c>
      <c r="K179">
        <f t="shared" si="132"/>
        <v>1</v>
      </c>
      <c r="L179">
        <f t="shared" si="132"/>
        <v>0</v>
      </c>
      <c r="M179">
        <f t="shared" si="132"/>
        <v>0</v>
      </c>
      <c r="N179">
        <f t="shared" si="132"/>
        <v>1</v>
      </c>
      <c r="O179">
        <f t="shared" si="132"/>
        <v>0</v>
      </c>
      <c r="P179">
        <f t="shared" si="132"/>
        <v>0</v>
      </c>
      <c r="Q179">
        <f t="shared" si="132"/>
        <v>0</v>
      </c>
      <c r="R179">
        <f t="shared" si="132"/>
        <v>1</v>
      </c>
      <c r="S179">
        <f t="shared" si="132"/>
        <v>0</v>
      </c>
    </row>
    <row r="180" spans="1:22" x14ac:dyDescent="0.3">
      <c r="A180" t="s">
        <v>416</v>
      </c>
      <c r="B180">
        <f>IF(AND(B178&gt;=4.37, B178&lt;5.36),1,0)</f>
        <v>0</v>
      </c>
      <c r="C180">
        <f t="shared" ref="C180:S180" si="133">IF(AND(C178&gt;=4.37, C178&lt;5.36),1,0)</f>
        <v>1</v>
      </c>
      <c r="D180">
        <f t="shared" si="133"/>
        <v>0</v>
      </c>
      <c r="E180">
        <f t="shared" si="133"/>
        <v>0</v>
      </c>
      <c r="F180">
        <f t="shared" si="133"/>
        <v>0</v>
      </c>
      <c r="G180">
        <f t="shared" si="133"/>
        <v>0</v>
      </c>
      <c r="H180">
        <f t="shared" si="133"/>
        <v>0</v>
      </c>
      <c r="I180">
        <f t="shared" si="133"/>
        <v>1</v>
      </c>
      <c r="J180">
        <f t="shared" si="133"/>
        <v>0</v>
      </c>
      <c r="K180">
        <f t="shared" si="133"/>
        <v>0</v>
      </c>
      <c r="L180">
        <f t="shared" si="133"/>
        <v>1</v>
      </c>
      <c r="M180">
        <f t="shared" si="133"/>
        <v>0</v>
      </c>
      <c r="N180">
        <f t="shared" si="133"/>
        <v>0</v>
      </c>
      <c r="O180">
        <f t="shared" si="133"/>
        <v>1</v>
      </c>
      <c r="P180">
        <f t="shared" si="133"/>
        <v>0</v>
      </c>
      <c r="Q180">
        <f t="shared" si="133"/>
        <v>0</v>
      </c>
      <c r="R180">
        <f t="shared" si="133"/>
        <v>0</v>
      </c>
      <c r="S180">
        <f t="shared" si="133"/>
        <v>0</v>
      </c>
    </row>
    <row r="181" spans="1:22" x14ac:dyDescent="0.3">
      <c r="A181" t="s">
        <v>417</v>
      </c>
      <c r="B181">
        <f>IF(B178&gt;=5.36,1,0)</f>
        <v>0</v>
      </c>
      <c r="C181">
        <f t="shared" ref="C181:S181" si="134">IF(C178&gt;=5.36,1,0)</f>
        <v>0</v>
      </c>
      <c r="D181">
        <f t="shared" si="134"/>
        <v>0</v>
      </c>
      <c r="E181">
        <f t="shared" si="134"/>
        <v>0</v>
      </c>
      <c r="F181">
        <f t="shared" si="134"/>
        <v>0</v>
      </c>
      <c r="G181">
        <f t="shared" si="134"/>
        <v>0</v>
      </c>
      <c r="H181">
        <f t="shared" si="134"/>
        <v>0</v>
      </c>
      <c r="I181">
        <f t="shared" si="134"/>
        <v>0</v>
      </c>
      <c r="J181">
        <f t="shared" si="134"/>
        <v>1</v>
      </c>
      <c r="K181">
        <f t="shared" si="134"/>
        <v>0</v>
      </c>
      <c r="L181">
        <f t="shared" si="134"/>
        <v>0</v>
      </c>
      <c r="M181">
        <f t="shared" si="134"/>
        <v>1</v>
      </c>
      <c r="N181">
        <f t="shared" si="134"/>
        <v>0</v>
      </c>
      <c r="O181">
        <f t="shared" si="134"/>
        <v>0</v>
      </c>
      <c r="P181">
        <f t="shared" si="134"/>
        <v>1</v>
      </c>
      <c r="Q181">
        <f t="shared" si="134"/>
        <v>1</v>
      </c>
      <c r="R181">
        <f t="shared" si="134"/>
        <v>0</v>
      </c>
      <c r="S181">
        <f t="shared" si="134"/>
        <v>1</v>
      </c>
    </row>
    <row r="182" spans="1:22" x14ac:dyDescent="0.3">
      <c r="A182" t="s">
        <v>245</v>
      </c>
      <c r="B182">
        <v>5.3445907696946549</v>
      </c>
      <c r="C182">
        <v>5.2928088328420699</v>
      </c>
      <c r="D182">
        <v>7.085917799648807</v>
      </c>
      <c r="E182">
        <v>5.8381767892637928</v>
      </c>
      <c r="F182">
        <v>5.6334280114725246</v>
      </c>
      <c r="G182">
        <v>6.5805818111444898</v>
      </c>
      <c r="H182">
        <v>8.6600404895505605</v>
      </c>
      <c r="I182">
        <v>5.4077304597141085</v>
      </c>
      <c r="J182">
        <v>8.6393276973866904</v>
      </c>
      <c r="K182">
        <v>8.7912227072912845</v>
      </c>
      <c r="L182">
        <v>8.2083137232393959</v>
      </c>
      <c r="M182">
        <v>9.1164804464328402</v>
      </c>
      <c r="N182">
        <v>7.697679154866325</v>
      </c>
      <c r="O182">
        <v>9.546562430449594</v>
      </c>
      <c r="P182">
        <v>8.6012605481616706</v>
      </c>
      <c r="Q182">
        <v>14.851514828532601</v>
      </c>
      <c r="R182">
        <v>8.7733084036585982</v>
      </c>
      <c r="S182">
        <v>21.18349031347352</v>
      </c>
      <c r="T182" s="8">
        <v>6.0237780447339668</v>
      </c>
      <c r="U182" s="8">
        <v>8.4047871357005342</v>
      </c>
      <c r="V182" s="8">
        <v>8.7867441313831129</v>
      </c>
    </row>
    <row r="183" spans="1:22" x14ac:dyDescent="0.3">
      <c r="A183" t="s">
        <v>412</v>
      </c>
      <c r="B183">
        <f>IF(AND(B182&gt;=6.024, B182&lt;8.405),1,0)</f>
        <v>0</v>
      </c>
      <c r="C183">
        <f t="shared" ref="C183:S183" si="135">IF(AND(C182&gt;=6.024, C182&lt;8.405),1,0)</f>
        <v>0</v>
      </c>
      <c r="D183">
        <f t="shared" si="135"/>
        <v>1</v>
      </c>
      <c r="E183">
        <f t="shared" si="135"/>
        <v>0</v>
      </c>
      <c r="F183">
        <f t="shared" si="135"/>
        <v>0</v>
      </c>
      <c r="G183">
        <f t="shared" si="135"/>
        <v>1</v>
      </c>
      <c r="H183">
        <f t="shared" si="135"/>
        <v>0</v>
      </c>
      <c r="I183">
        <f t="shared" si="135"/>
        <v>0</v>
      </c>
      <c r="J183">
        <f t="shared" si="135"/>
        <v>0</v>
      </c>
      <c r="K183">
        <f t="shared" si="135"/>
        <v>0</v>
      </c>
      <c r="L183">
        <f t="shared" si="135"/>
        <v>1</v>
      </c>
      <c r="M183">
        <f t="shared" si="135"/>
        <v>0</v>
      </c>
      <c r="N183">
        <f t="shared" si="135"/>
        <v>1</v>
      </c>
      <c r="O183">
        <f t="shared" si="135"/>
        <v>0</v>
      </c>
      <c r="P183">
        <f t="shared" si="135"/>
        <v>0</v>
      </c>
      <c r="Q183">
        <f t="shared" si="135"/>
        <v>0</v>
      </c>
      <c r="R183">
        <f t="shared" si="135"/>
        <v>0</v>
      </c>
      <c r="S183">
        <f t="shared" si="135"/>
        <v>0</v>
      </c>
    </row>
    <row r="184" spans="1:22" x14ac:dyDescent="0.3">
      <c r="A184" t="s">
        <v>413</v>
      </c>
      <c r="B184">
        <f>IF(AND(B182&gt;=8.405, B182&lt;8.787),1,0)</f>
        <v>0</v>
      </c>
      <c r="C184">
        <f t="shared" ref="C184:S184" si="136">IF(AND(C182&gt;=8.405, C182&lt;8.787),1,0)</f>
        <v>0</v>
      </c>
      <c r="D184">
        <f t="shared" si="136"/>
        <v>0</v>
      </c>
      <c r="E184">
        <f t="shared" si="136"/>
        <v>0</v>
      </c>
      <c r="F184">
        <f t="shared" si="136"/>
        <v>0</v>
      </c>
      <c r="G184">
        <f t="shared" si="136"/>
        <v>0</v>
      </c>
      <c r="H184">
        <f t="shared" si="136"/>
        <v>1</v>
      </c>
      <c r="I184">
        <f t="shared" si="136"/>
        <v>0</v>
      </c>
      <c r="J184">
        <f t="shared" si="136"/>
        <v>1</v>
      </c>
      <c r="K184">
        <f t="shared" si="136"/>
        <v>0</v>
      </c>
      <c r="L184">
        <f t="shared" si="136"/>
        <v>0</v>
      </c>
      <c r="M184">
        <f t="shared" si="136"/>
        <v>0</v>
      </c>
      <c r="N184">
        <f t="shared" si="136"/>
        <v>0</v>
      </c>
      <c r="O184">
        <f t="shared" si="136"/>
        <v>0</v>
      </c>
      <c r="P184">
        <f t="shared" si="136"/>
        <v>1</v>
      </c>
      <c r="Q184">
        <f t="shared" si="136"/>
        <v>0</v>
      </c>
      <c r="R184">
        <f t="shared" si="136"/>
        <v>1</v>
      </c>
      <c r="S184">
        <f t="shared" si="136"/>
        <v>0</v>
      </c>
    </row>
    <row r="185" spans="1:22" x14ac:dyDescent="0.3">
      <c r="A185" t="s">
        <v>414</v>
      </c>
      <c r="B185">
        <f>IF(B182&gt;=8.787,1,0)</f>
        <v>0</v>
      </c>
      <c r="C185">
        <f t="shared" ref="C185:S185" si="137">IF(C182&gt;=8.787,1,0)</f>
        <v>0</v>
      </c>
      <c r="D185">
        <f t="shared" si="137"/>
        <v>0</v>
      </c>
      <c r="E185">
        <f t="shared" si="137"/>
        <v>0</v>
      </c>
      <c r="F185">
        <f t="shared" si="137"/>
        <v>0</v>
      </c>
      <c r="G185">
        <f t="shared" si="137"/>
        <v>0</v>
      </c>
      <c r="H185">
        <f t="shared" si="137"/>
        <v>0</v>
      </c>
      <c r="I185">
        <f t="shared" si="137"/>
        <v>0</v>
      </c>
      <c r="J185">
        <f t="shared" si="137"/>
        <v>0</v>
      </c>
      <c r="K185">
        <f t="shared" si="137"/>
        <v>1</v>
      </c>
      <c r="L185">
        <f t="shared" si="137"/>
        <v>0</v>
      </c>
      <c r="M185">
        <f t="shared" si="137"/>
        <v>1</v>
      </c>
      <c r="N185">
        <f t="shared" si="137"/>
        <v>0</v>
      </c>
      <c r="O185">
        <f t="shared" si="137"/>
        <v>1</v>
      </c>
      <c r="P185">
        <f t="shared" si="137"/>
        <v>0</v>
      </c>
      <c r="Q185">
        <f t="shared" si="137"/>
        <v>1</v>
      </c>
      <c r="R185">
        <f t="shared" si="137"/>
        <v>0</v>
      </c>
      <c r="S185">
        <f t="shared" si="137"/>
        <v>1</v>
      </c>
    </row>
    <row r="186" spans="1:22" x14ac:dyDescent="0.3">
      <c r="A186" t="s">
        <v>246</v>
      </c>
      <c r="B186">
        <v>2.8198677074949567</v>
      </c>
      <c r="C186">
        <v>3.0553535453226681</v>
      </c>
      <c r="D186">
        <v>2.8504529920696577</v>
      </c>
      <c r="E186">
        <v>2.9486486768826938</v>
      </c>
      <c r="F186">
        <v>3.2988944978073911</v>
      </c>
      <c r="G186">
        <v>3.6117771346444765</v>
      </c>
      <c r="H186">
        <v>3.4374763403110333</v>
      </c>
      <c r="I186">
        <v>3.555444854559354</v>
      </c>
      <c r="J186">
        <v>3.8143642777184121</v>
      </c>
      <c r="K186">
        <v>3.4000584389923709</v>
      </c>
      <c r="L186">
        <v>2.7157285829910571</v>
      </c>
      <c r="M186">
        <v>2.7204603790109552</v>
      </c>
      <c r="N186">
        <v>2.7088297140795836</v>
      </c>
      <c r="O186">
        <v>2.7176029081041513</v>
      </c>
      <c r="P186">
        <v>2.3419259807047874</v>
      </c>
      <c r="Q186">
        <v>2.21253569536524</v>
      </c>
      <c r="R186">
        <v>1.9289116152859125</v>
      </c>
      <c r="S186">
        <v>1.8894790483929369</v>
      </c>
      <c r="T186" s="8">
        <v>2.7105544313074521</v>
      </c>
      <c r="U186" s="8">
        <v>2.8351603497823072</v>
      </c>
      <c r="V186" s="8">
        <v>3.3747674536961259</v>
      </c>
    </row>
    <row r="187" spans="1:22" x14ac:dyDescent="0.3">
      <c r="A187" t="s">
        <v>409</v>
      </c>
      <c r="B187">
        <f>IF(AND(B186&gt;=2.71, B186&lt;2.84),1,0)</f>
        <v>1</v>
      </c>
      <c r="C187">
        <f t="shared" ref="C187:S187" si="138">IF(AND(C186&gt;=2.71, C186&lt;2.84),1,0)</f>
        <v>0</v>
      </c>
      <c r="D187">
        <f t="shared" si="138"/>
        <v>0</v>
      </c>
      <c r="E187">
        <f t="shared" si="138"/>
        <v>0</v>
      </c>
      <c r="F187">
        <f t="shared" si="138"/>
        <v>0</v>
      </c>
      <c r="G187">
        <f t="shared" si="138"/>
        <v>0</v>
      </c>
      <c r="H187">
        <f t="shared" si="138"/>
        <v>0</v>
      </c>
      <c r="I187">
        <f t="shared" si="138"/>
        <v>0</v>
      </c>
      <c r="J187">
        <f t="shared" si="138"/>
        <v>0</v>
      </c>
      <c r="K187">
        <f t="shared" si="138"/>
        <v>0</v>
      </c>
      <c r="L187">
        <f t="shared" si="138"/>
        <v>1</v>
      </c>
      <c r="M187">
        <f t="shared" si="138"/>
        <v>1</v>
      </c>
      <c r="N187">
        <f t="shared" si="138"/>
        <v>0</v>
      </c>
      <c r="O187">
        <f t="shared" si="138"/>
        <v>1</v>
      </c>
      <c r="P187">
        <f t="shared" si="138"/>
        <v>0</v>
      </c>
      <c r="Q187">
        <f t="shared" si="138"/>
        <v>0</v>
      </c>
      <c r="R187">
        <f t="shared" si="138"/>
        <v>0</v>
      </c>
      <c r="S187">
        <f t="shared" si="138"/>
        <v>0</v>
      </c>
    </row>
    <row r="188" spans="1:22" x14ac:dyDescent="0.3">
      <c r="A188" t="s">
        <v>410</v>
      </c>
      <c r="B188">
        <f>IF(AND(B186&gt;=2.84, B186&lt;3.375),1,0)</f>
        <v>0</v>
      </c>
      <c r="C188">
        <f t="shared" ref="C188:S188" si="139">IF(AND(C186&gt;=2.84, C186&lt;3.375),1,0)</f>
        <v>1</v>
      </c>
      <c r="D188">
        <f t="shared" si="139"/>
        <v>1</v>
      </c>
      <c r="E188">
        <f t="shared" si="139"/>
        <v>1</v>
      </c>
      <c r="F188">
        <f t="shared" si="139"/>
        <v>1</v>
      </c>
      <c r="G188">
        <f t="shared" si="139"/>
        <v>0</v>
      </c>
      <c r="H188">
        <f t="shared" si="139"/>
        <v>0</v>
      </c>
      <c r="I188">
        <f t="shared" si="139"/>
        <v>0</v>
      </c>
      <c r="J188">
        <f t="shared" si="139"/>
        <v>0</v>
      </c>
      <c r="K188">
        <f t="shared" si="139"/>
        <v>0</v>
      </c>
      <c r="L188">
        <f t="shared" si="139"/>
        <v>0</v>
      </c>
      <c r="M188">
        <f t="shared" si="139"/>
        <v>0</v>
      </c>
      <c r="N188">
        <f t="shared" si="139"/>
        <v>0</v>
      </c>
      <c r="O188">
        <f t="shared" si="139"/>
        <v>0</v>
      </c>
      <c r="P188">
        <f t="shared" si="139"/>
        <v>0</v>
      </c>
      <c r="Q188">
        <f t="shared" si="139"/>
        <v>0</v>
      </c>
      <c r="R188">
        <f t="shared" si="139"/>
        <v>0</v>
      </c>
      <c r="S188">
        <f t="shared" si="139"/>
        <v>0</v>
      </c>
    </row>
    <row r="189" spans="1:22" x14ac:dyDescent="0.3">
      <c r="A189" t="s">
        <v>411</v>
      </c>
      <c r="B189">
        <f>IF(B186&gt;=3.375,1,0)</f>
        <v>0</v>
      </c>
      <c r="C189">
        <f t="shared" ref="C189:S189" si="140">IF(C186&gt;=3.375,1,0)</f>
        <v>0</v>
      </c>
      <c r="D189">
        <f t="shared" si="140"/>
        <v>0</v>
      </c>
      <c r="E189">
        <f t="shared" si="140"/>
        <v>0</v>
      </c>
      <c r="F189">
        <f t="shared" si="140"/>
        <v>0</v>
      </c>
      <c r="G189">
        <f t="shared" si="140"/>
        <v>1</v>
      </c>
      <c r="H189">
        <f t="shared" si="140"/>
        <v>1</v>
      </c>
      <c r="I189">
        <f t="shared" si="140"/>
        <v>1</v>
      </c>
      <c r="J189">
        <f t="shared" si="140"/>
        <v>1</v>
      </c>
      <c r="K189">
        <f t="shared" si="140"/>
        <v>1</v>
      </c>
      <c r="L189">
        <f t="shared" si="140"/>
        <v>0</v>
      </c>
      <c r="M189">
        <f t="shared" si="140"/>
        <v>0</v>
      </c>
      <c r="N189">
        <f t="shared" si="140"/>
        <v>0</v>
      </c>
      <c r="O189">
        <f t="shared" si="140"/>
        <v>0</v>
      </c>
      <c r="P189">
        <f t="shared" si="140"/>
        <v>0</v>
      </c>
      <c r="Q189">
        <f t="shared" si="140"/>
        <v>0</v>
      </c>
      <c r="R189">
        <f t="shared" si="140"/>
        <v>0</v>
      </c>
      <c r="S189">
        <f t="shared" si="140"/>
        <v>0</v>
      </c>
    </row>
    <row r="190" spans="1:22" x14ac:dyDescent="0.3">
      <c r="A190" t="s">
        <v>247</v>
      </c>
      <c r="B190">
        <v>0.73821082912429103</v>
      </c>
      <c r="C190">
        <v>0.75341237482158063</v>
      </c>
      <c r="D190">
        <v>0.74029029777545996</v>
      </c>
      <c r="E190">
        <v>0.74674880400110411</v>
      </c>
      <c r="F190">
        <v>0.76738205589598907</v>
      </c>
      <c r="G190">
        <v>0.78316384968219188</v>
      </c>
      <c r="H190">
        <v>0.77464668579395568</v>
      </c>
      <c r="I190">
        <v>0.78048247055407949</v>
      </c>
      <c r="J190">
        <v>0.79228825607813946</v>
      </c>
      <c r="K190">
        <v>0.77273029123017656</v>
      </c>
      <c r="L190">
        <v>0.73087377679372156</v>
      </c>
      <c r="M190">
        <v>0.73121605980767379</v>
      </c>
      <c r="N190">
        <v>0.73037316968105426</v>
      </c>
      <c r="O190">
        <v>0.7310094637003699</v>
      </c>
      <c r="P190">
        <v>0.7007713498821696</v>
      </c>
      <c r="Q190">
        <v>0.68871941206981424</v>
      </c>
      <c r="R190">
        <v>0.65857624559886807</v>
      </c>
      <c r="S190">
        <v>0.6539168537815917</v>
      </c>
      <c r="T190" s="8">
        <v>0.73049832145922111</v>
      </c>
      <c r="U190" s="8">
        <v>0.7392505634498755</v>
      </c>
      <c r="V190" s="8">
        <v>0.77139323239662971</v>
      </c>
    </row>
    <row r="191" spans="1:22" x14ac:dyDescent="0.3">
      <c r="A191" t="s">
        <v>406</v>
      </c>
      <c r="B191">
        <f>IF(AND(B190&gt;=0.73, B190&lt;0.74),1,0)</f>
        <v>1</v>
      </c>
      <c r="C191">
        <f t="shared" ref="C191:S191" si="141">IF(AND(C190&gt;=0.73, C190&lt;0.74),1,0)</f>
        <v>0</v>
      </c>
      <c r="D191">
        <f t="shared" si="141"/>
        <v>0</v>
      </c>
      <c r="E191">
        <f t="shared" si="141"/>
        <v>0</v>
      </c>
      <c r="F191">
        <f t="shared" si="141"/>
        <v>0</v>
      </c>
      <c r="G191">
        <f t="shared" si="141"/>
        <v>0</v>
      </c>
      <c r="H191">
        <f t="shared" si="141"/>
        <v>0</v>
      </c>
      <c r="I191">
        <f t="shared" si="141"/>
        <v>0</v>
      </c>
      <c r="J191">
        <f t="shared" si="141"/>
        <v>0</v>
      </c>
      <c r="K191">
        <f t="shared" si="141"/>
        <v>0</v>
      </c>
      <c r="L191">
        <f t="shared" si="141"/>
        <v>1</v>
      </c>
      <c r="M191">
        <f t="shared" si="141"/>
        <v>1</v>
      </c>
      <c r="N191">
        <f t="shared" si="141"/>
        <v>1</v>
      </c>
      <c r="O191">
        <f t="shared" si="141"/>
        <v>1</v>
      </c>
      <c r="P191">
        <f t="shared" si="141"/>
        <v>0</v>
      </c>
      <c r="Q191">
        <f t="shared" si="141"/>
        <v>0</v>
      </c>
      <c r="R191">
        <f t="shared" si="141"/>
        <v>0</v>
      </c>
      <c r="S191">
        <f t="shared" si="141"/>
        <v>0</v>
      </c>
    </row>
    <row r="192" spans="1:22" x14ac:dyDescent="0.3">
      <c r="A192" t="s">
        <v>407</v>
      </c>
      <c r="B192">
        <f>IF(AND(B190&gt;=0.74, B190&lt;0.77),1,0)</f>
        <v>0</v>
      </c>
      <c r="C192">
        <f t="shared" ref="C192:S192" si="142">IF(AND(C190&gt;=0.74, C190&lt;0.77),1,0)</f>
        <v>1</v>
      </c>
      <c r="D192">
        <f t="shared" si="142"/>
        <v>1</v>
      </c>
      <c r="E192">
        <f t="shared" si="142"/>
        <v>1</v>
      </c>
      <c r="F192">
        <f t="shared" si="142"/>
        <v>1</v>
      </c>
      <c r="G192">
        <f t="shared" si="142"/>
        <v>0</v>
      </c>
      <c r="H192">
        <f t="shared" si="142"/>
        <v>0</v>
      </c>
      <c r="I192">
        <f t="shared" si="142"/>
        <v>0</v>
      </c>
      <c r="J192">
        <f t="shared" si="142"/>
        <v>0</v>
      </c>
      <c r="K192">
        <f t="shared" si="142"/>
        <v>0</v>
      </c>
      <c r="L192">
        <f t="shared" si="142"/>
        <v>0</v>
      </c>
      <c r="M192">
        <f t="shared" si="142"/>
        <v>0</v>
      </c>
      <c r="N192">
        <f t="shared" si="142"/>
        <v>0</v>
      </c>
      <c r="O192">
        <f t="shared" si="142"/>
        <v>0</v>
      </c>
      <c r="P192">
        <f t="shared" si="142"/>
        <v>0</v>
      </c>
      <c r="Q192">
        <f t="shared" si="142"/>
        <v>0</v>
      </c>
      <c r="R192">
        <f t="shared" si="142"/>
        <v>0</v>
      </c>
      <c r="S192">
        <f t="shared" si="142"/>
        <v>0</v>
      </c>
    </row>
    <row r="193" spans="1:22" x14ac:dyDescent="0.3">
      <c r="A193" t="s">
        <v>408</v>
      </c>
      <c r="B193">
        <f>IF(B190&gt;=0.77,1,0)</f>
        <v>0</v>
      </c>
      <c r="C193">
        <f t="shared" ref="C193:S193" si="143">IF(C190&gt;=0.77,1,0)</f>
        <v>0</v>
      </c>
      <c r="D193">
        <f t="shared" si="143"/>
        <v>0</v>
      </c>
      <c r="E193">
        <f t="shared" si="143"/>
        <v>0</v>
      </c>
      <c r="F193">
        <f t="shared" si="143"/>
        <v>0</v>
      </c>
      <c r="G193">
        <f t="shared" si="143"/>
        <v>1</v>
      </c>
      <c r="H193">
        <f t="shared" si="143"/>
        <v>1</v>
      </c>
      <c r="I193">
        <f t="shared" si="143"/>
        <v>1</v>
      </c>
      <c r="J193">
        <f t="shared" si="143"/>
        <v>1</v>
      </c>
      <c r="K193">
        <f t="shared" si="143"/>
        <v>1</v>
      </c>
      <c r="L193">
        <f t="shared" si="143"/>
        <v>0</v>
      </c>
      <c r="M193">
        <f t="shared" si="143"/>
        <v>0</v>
      </c>
      <c r="N193">
        <f t="shared" si="143"/>
        <v>0</v>
      </c>
      <c r="O193">
        <f t="shared" si="143"/>
        <v>0</v>
      </c>
      <c r="P193">
        <f t="shared" si="143"/>
        <v>0</v>
      </c>
      <c r="Q193">
        <f t="shared" si="143"/>
        <v>0</v>
      </c>
      <c r="R193">
        <f t="shared" si="143"/>
        <v>0</v>
      </c>
      <c r="S193">
        <f t="shared" si="143"/>
        <v>0</v>
      </c>
    </row>
    <row r="194" spans="1:22" x14ac:dyDescent="0.3">
      <c r="A194" t="s">
        <v>248</v>
      </c>
      <c r="B194">
        <v>0.26178917087570897</v>
      </c>
      <c r="C194">
        <v>0.24658762517841931</v>
      </c>
      <c r="D194">
        <v>0.25970970222454004</v>
      </c>
      <c r="E194">
        <v>0.25325119599889589</v>
      </c>
      <c r="F194">
        <v>0.23261794410401099</v>
      </c>
      <c r="G194">
        <v>0.21683615031780809</v>
      </c>
      <c r="H194">
        <v>0.22535331420604435</v>
      </c>
      <c r="I194">
        <v>0.21951752944592051</v>
      </c>
      <c r="J194">
        <v>0.20771174392186056</v>
      </c>
      <c r="K194">
        <v>0.22726970876982341</v>
      </c>
      <c r="L194">
        <v>0.26912622320627844</v>
      </c>
      <c r="M194">
        <v>0.26878394019232621</v>
      </c>
      <c r="N194">
        <v>0.26962683031894574</v>
      </c>
      <c r="O194">
        <v>0.2689905362996301</v>
      </c>
      <c r="P194">
        <v>0.2992286501178304</v>
      </c>
      <c r="Q194">
        <v>0.31128058793018576</v>
      </c>
      <c r="R194">
        <v>0.34142375440113193</v>
      </c>
      <c r="S194">
        <v>0.34608314621840824</v>
      </c>
      <c r="T194" s="8">
        <v>0.22860676760337031</v>
      </c>
      <c r="U194" s="8">
        <v>0.2607494365501245</v>
      </c>
      <c r="V194" s="8">
        <v>0.26950167854077889</v>
      </c>
    </row>
    <row r="195" spans="1:22" x14ac:dyDescent="0.3">
      <c r="A195" t="s">
        <v>403</v>
      </c>
      <c r="B195">
        <f>IF(AND(B194&gt;=0.229, B194&lt;0.26),1,0)</f>
        <v>0</v>
      </c>
      <c r="C195">
        <f t="shared" ref="C195:S195" si="144">IF(AND(C194&gt;=0.229, C194&lt;0.26),1,0)</f>
        <v>1</v>
      </c>
      <c r="D195">
        <f t="shared" si="144"/>
        <v>1</v>
      </c>
      <c r="E195">
        <f t="shared" si="144"/>
        <v>1</v>
      </c>
      <c r="F195">
        <f t="shared" si="144"/>
        <v>1</v>
      </c>
      <c r="G195">
        <f t="shared" si="144"/>
        <v>0</v>
      </c>
      <c r="H195">
        <f t="shared" si="144"/>
        <v>0</v>
      </c>
      <c r="I195">
        <f t="shared" si="144"/>
        <v>0</v>
      </c>
      <c r="J195">
        <f t="shared" si="144"/>
        <v>0</v>
      </c>
      <c r="K195">
        <f t="shared" si="144"/>
        <v>0</v>
      </c>
      <c r="L195">
        <f t="shared" si="144"/>
        <v>0</v>
      </c>
      <c r="M195">
        <f t="shared" si="144"/>
        <v>0</v>
      </c>
      <c r="N195">
        <f t="shared" si="144"/>
        <v>0</v>
      </c>
      <c r="O195">
        <f t="shared" si="144"/>
        <v>0</v>
      </c>
      <c r="P195">
        <f t="shared" si="144"/>
        <v>0</v>
      </c>
      <c r="Q195">
        <f t="shared" si="144"/>
        <v>0</v>
      </c>
      <c r="R195">
        <f t="shared" si="144"/>
        <v>0</v>
      </c>
      <c r="S195">
        <f t="shared" si="144"/>
        <v>0</v>
      </c>
    </row>
    <row r="196" spans="1:22" x14ac:dyDescent="0.3">
      <c r="A196" t="s">
        <v>404</v>
      </c>
      <c r="B196">
        <f>IF(AND(B194&gt;=0.26, B194&lt;0.27),1,0)</f>
        <v>1</v>
      </c>
      <c r="C196">
        <f t="shared" ref="C196:S196" si="145">IF(AND(C194&gt;=0.26, C194&lt;0.27),1,0)</f>
        <v>0</v>
      </c>
      <c r="D196">
        <f t="shared" si="145"/>
        <v>0</v>
      </c>
      <c r="E196">
        <f t="shared" si="145"/>
        <v>0</v>
      </c>
      <c r="F196">
        <f t="shared" si="145"/>
        <v>0</v>
      </c>
      <c r="G196">
        <f t="shared" si="145"/>
        <v>0</v>
      </c>
      <c r="H196">
        <f t="shared" si="145"/>
        <v>0</v>
      </c>
      <c r="I196">
        <f t="shared" si="145"/>
        <v>0</v>
      </c>
      <c r="J196">
        <f t="shared" si="145"/>
        <v>0</v>
      </c>
      <c r="K196">
        <f t="shared" si="145"/>
        <v>0</v>
      </c>
      <c r="L196">
        <f t="shared" si="145"/>
        <v>1</v>
      </c>
      <c r="M196">
        <f t="shared" si="145"/>
        <v>1</v>
      </c>
      <c r="N196">
        <f t="shared" si="145"/>
        <v>1</v>
      </c>
      <c r="O196">
        <f t="shared" si="145"/>
        <v>1</v>
      </c>
      <c r="P196">
        <f t="shared" si="145"/>
        <v>0</v>
      </c>
      <c r="Q196">
        <f t="shared" si="145"/>
        <v>0</v>
      </c>
      <c r="R196">
        <f t="shared" si="145"/>
        <v>0</v>
      </c>
      <c r="S196">
        <f t="shared" si="145"/>
        <v>0</v>
      </c>
    </row>
    <row r="197" spans="1:22" x14ac:dyDescent="0.3">
      <c r="A197" t="s">
        <v>405</v>
      </c>
      <c r="B197">
        <f>IF(B194&gt;=0.27,1,0)</f>
        <v>0</v>
      </c>
      <c r="C197">
        <f t="shared" ref="C197:S197" si="146">IF(C194&gt;=0.27,1,0)</f>
        <v>0</v>
      </c>
      <c r="D197">
        <f t="shared" si="146"/>
        <v>0</v>
      </c>
      <c r="E197">
        <f t="shared" si="146"/>
        <v>0</v>
      </c>
      <c r="F197">
        <f t="shared" si="146"/>
        <v>0</v>
      </c>
      <c r="G197">
        <f t="shared" si="146"/>
        <v>0</v>
      </c>
      <c r="H197">
        <f t="shared" si="146"/>
        <v>0</v>
      </c>
      <c r="I197">
        <f t="shared" si="146"/>
        <v>0</v>
      </c>
      <c r="J197">
        <f t="shared" si="146"/>
        <v>0</v>
      </c>
      <c r="K197">
        <f t="shared" si="146"/>
        <v>0</v>
      </c>
      <c r="L197">
        <f t="shared" si="146"/>
        <v>0</v>
      </c>
      <c r="M197">
        <f t="shared" si="146"/>
        <v>0</v>
      </c>
      <c r="N197">
        <f t="shared" si="146"/>
        <v>0</v>
      </c>
      <c r="O197">
        <f t="shared" si="146"/>
        <v>0</v>
      </c>
      <c r="P197">
        <f t="shared" si="146"/>
        <v>1</v>
      </c>
      <c r="Q197">
        <f t="shared" si="146"/>
        <v>1</v>
      </c>
      <c r="R197">
        <f t="shared" si="146"/>
        <v>1</v>
      </c>
      <c r="S197">
        <f t="shared" si="146"/>
        <v>1</v>
      </c>
    </row>
    <row r="198" spans="1:22" x14ac:dyDescent="0.3">
      <c r="A198" t="s">
        <v>249</v>
      </c>
      <c r="B198">
        <v>9.4064673840907193E-2</v>
      </c>
      <c r="C198">
        <v>0.10065260151636551</v>
      </c>
      <c r="D198">
        <v>0.10577683363868023</v>
      </c>
      <c r="E198">
        <v>0.11341536497788227</v>
      </c>
      <c r="F198">
        <v>0.10953668096112179</v>
      </c>
      <c r="G198">
        <v>0.11961841916680852</v>
      </c>
      <c r="H198">
        <v>0.12416359562855868</v>
      </c>
      <c r="I198">
        <v>0.12664257178576044</v>
      </c>
      <c r="J198">
        <v>0.12918364108026337</v>
      </c>
      <c r="K198">
        <v>0.11736663049796735</v>
      </c>
      <c r="L198">
        <v>8.5629395808206499E-2</v>
      </c>
      <c r="M198">
        <v>9.1763346440391094E-2</v>
      </c>
      <c r="N198">
        <v>0.10285598502691685</v>
      </c>
      <c r="O198">
        <v>9.7987407103442933E-2</v>
      </c>
      <c r="P198">
        <v>1.2673709266720717E-2</v>
      </c>
      <c r="Q198">
        <v>7.2626945891440557E-3</v>
      </c>
      <c r="R198">
        <v>5.9711109280017978E-3</v>
      </c>
      <c r="S198">
        <v>2.3269351697823331E-2</v>
      </c>
      <c r="T198" s="8">
        <v>8.7162883466252644E-2</v>
      </c>
      <c r="U198" s="8">
        <v>0.10175429327164118</v>
      </c>
      <c r="V198" s="8">
        <v>0.11637881411794608</v>
      </c>
    </row>
    <row r="199" spans="1:22" x14ac:dyDescent="0.3">
      <c r="A199" t="s">
        <v>400</v>
      </c>
      <c r="B199">
        <f>IF(AND(B198&gt;=0.087, B198&lt;0.1),1,0)</f>
        <v>1</v>
      </c>
      <c r="C199">
        <f t="shared" ref="C199:S199" si="147">IF(AND(C198&gt;=0.087, C198&lt;0.1),1,0)</f>
        <v>0</v>
      </c>
      <c r="D199">
        <f t="shared" si="147"/>
        <v>0</v>
      </c>
      <c r="E199">
        <f t="shared" si="147"/>
        <v>0</v>
      </c>
      <c r="F199">
        <f t="shared" si="147"/>
        <v>0</v>
      </c>
      <c r="G199">
        <f t="shared" si="147"/>
        <v>0</v>
      </c>
      <c r="H199">
        <f t="shared" si="147"/>
        <v>0</v>
      </c>
      <c r="I199">
        <f t="shared" si="147"/>
        <v>0</v>
      </c>
      <c r="J199">
        <f t="shared" si="147"/>
        <v>0</v>
      </c>
      <c r="K199">
        <f t="shared" si="147"/>
        <v>0</v>
      </c>
      <c r="L199">
        <f t="shared" si="147"/>
        <v>0</v>
      </c>
      <c r="M199">
        <f t="shared" si="147"/>
        <v>1</v>
      </c>
      <c r="N199">
        <f t="shared" si="147"/>
        <v>0</v>
      </c>
      <c r="O199">
        <f t="shared" si="147"/>
        <v>1</v>
      </c>
      <c r="P199">
        <f t="shared" si="147"/>
        <v>0</v>
      </c>
      <c r="Q199">
        <f t="shared" si="147"/>
        <v>0</v>
      </c>
      <c r="R199">
        <f t="shared" si="147"/>
        <v>0</v>
      </c>
      <c r="S199">
        <f t="shared" si="147"/>
        <v>0</v>
      </c>
    </row>
    <row r="200" spans="1:22" x14ac:dyDescent="0.3">
      <c r="A200" t="s">
        <v>401</v>
      </c>
      <c r="B200">
        <f>IF(AND(B198&gt;=0.1, B198&lt;0.116),1,0)</f>
        <v>0</v>
      </c>
      <c r="C200">
        <f t="shared" ref="C200:S200" si="148">IF(AND(C198&gt;=0.1, C198&lt;0.116),1,0)</f>
        <v>1</v>
      </c>
      <c r="D200">
        <f t="shared" si="148"/>
        <v>1</v>
      </c>
      <c r="E200">
        <f t="shared" si="148"/>
        <v>1</v>
      </c>
      <c r="F200">
        <f t="shared" si="148"/>
        <v>1</v>
      </c>
      <c r="G200">
        <f t="shared" si="148"/>
        <v>0</v>
      </c>
      <c r="H200">
        <f t="shared" si="148"/>
        <v>0</v>
      </c>
      <c r="I200">
        <f t="shared" si="148"/>
        <v>0</v>
      </c>
      <c r="J200">
        <f t="shared" si="148"/>
        <v>0</v>
      </c>
      <c r="K200">
        <f t="shared" si="148"/>
        <v>0</v>
      </c>
      <c r="L200">
        <f t="shared" si="148"/>
        <v>0</v>
      </c>
      <c r="M200">
        <f t="shared" si="148"/>
        <v>0</v>
      </c>
      <c r="N200">
        <f t="shared" si="148"/>
        <v>1</v>
      </c>
      <c r="O200">
        <f t="shared" si="148"/>
        <v>0</v>
      </c>
      <c r="P200">
        <f t="shared" si="148"/>
        <v>0</v>
      </c>
      <c r="Q200">
        <f t="shared" si="148"/>
        <v>0</v>
      </c>
      <c r="R200">
        <f t="shared" si="148"/>
        <v>0</v>
      </c>
      <c r="S200">
        <f t="shared" si="148"/>
        <v>0</v>
      </c>
    </row>
    <row r="201" spans="1:22" x14ac:dyDescent="0.3">
      <c r="A201" t="s">
        <v>402</v>
      </c>
      <c r="B201">
        <f>IF(B198&gt;=0.116,1,0)</f>
        <v>0</v>
      </c>
      <c r="C201">
        <f t="shared" ref="C201:S201" si="149">IF(C198&gt;=0.116,1,0)</f>
        <v>0</v>
      </c>
      <c r="D201">
        <f t="shared" si="149"/>
        <v>0</v>
      </c>
      <c r="E201">
        <f t="shared" si="149"/>
        <v>0</v>
      </c>
      <c r="F201">
        <f t="shared" si="149"/>
        <v>0</v>
      </c>
      <c r="G201">
        <f t="shared" si="149"/>
        <v>1</v>
      </c>
      <c r="H201">
        <f t="shared" si="149"/>
        <v>1</v>
      </c>
      <c r="I201">
        <f t="shared" si="149"/>
        <v>1</v>
      </c>
      <c r="J201">
        <f t="shared" si="149"/>
        <v>1</v>
      </c>
      <c r="K201">
        <f t="shared" si="149"/>
        <v>1</v>
      </c>
      <c r="L201">
        <f t="shared" si="149"/>
        <v>0</v>
      </c>
      <c r="M201">
        <f t="shared" si="149"/>
        <v>0</v>
      </c>
      <c r="N201">
        <f t="shared" si="149"/>
        <v>0</v>
      </c>
      <c r="O201">
        <f t="shared" si="149"/>
        <v>0</v>
      </c>
      <c r="P201">
        <f t="shared" si="149"/>
        <v>0</v>
      </c>
      <c r="Q201">
        <f t="shared" si="149"/>
        <v>0</v>
      </c>
      <c r="R201">
        <f t="shared" si="149"/>
        <v>0</v>
      </c>
      <c r="S201">
        <f t="shared" si="149"/>
        <v>0</v>
      </c>
    </row>
    <row r="202" spans="1:22" x14ac:dyDescent="0.3">
      <c r="A202" t="s">
        <v>250</v>
      </c>
      <c r="B202">
        <v>8.5881658259476495E-2</v>
      </c>
      <c r="C202">
        <v>9.2763405672345145E-2</v>
      </c>
      <c r="D202">
        <v>9.7683160515519632E-2</v>
      </c>
      <c r="E202">
        <v>0.1041705930123662</v>
      </c>
      <c r="F202">
        <v>9.9823444565613359E-2</v>
      </c>
      <c r="G202">
        <v>0.10958304325944998</v>
      </c>
      <c r="H202">
        <v>0.11697641098265281</v>
      </c>
      <c r="I202">
        <v>0.1209776728299235</v>
      </c>
      <c r="J202">
        <v>0.12124246145868686</v>
      </c>
      <c r="K202">
        <v>0.10877048938581077</v>
      </c>
      <c r="L202">
        <v>7.7902980835676691E-2</v>
      </c>
      <c r="M202">
        <v>8.3526978849064251E-2</v>
      </c>
      <c r="N202">
        <v>8.414188916736251E-2</v>
      </c>
      <c r="O202">
        <v>9.0554082327838931E-2</v>
      </c>
      <c r="P202">
        <v>5.4909019706619868E-3</v>
      </c>
      <c r="Q202">
        <v>0</v>
      </c>
      <c r="R202">
        <v>0</v>
      </c>
      <c r="S202">
        <v>0</v>
      </c>
      <c r="T202" s="8">
        <v>7.9308980339023588E-2</v>
      </c>
      <c r="U202" s="8">
        <v>9.1658744000092038E-2</v>
      </c>
      <c r="V202" s="8">
        <v>0.10762051529244962</v>
      </c>
    </row>
    <row r="203" spans="1:22" x14ac:dyDescent="0.3">
      <c r="A203" t="s">
        <v>452</v>
      </c>
      <c r="B203">
        <f>IF(AND(B202&gt;=0.079, B202&lt;0.092),1,0)</f>
        <v>1</v>
      </c>
      <c r="C203">
        <f t="shared" ref="C203:S203" si="150">IF(AND(C202&gt;=0.079, C202&lt;0.092),1,0)</f>
        <v>0</v>
      </c>
      <c r="D203">
        <f t="shared" si="150"/>
        <v>0</v>
      </c>
      <c r="E203">
        <f t="shared" si="150"/>
        <v>0</v>
      </c>
      <c r="F203">
        <f t="shared" si="150"/>
        <v>0</v>
      </c>
      <c r="G203">
        <f t="shared" si="150"/>
        <v>0</v>
      </c>
      <c r="H203">
        <f t="shared" si="150"/>
        <v>0</v>
      </c>
      <c r="I203">
        <f t="shared" si="150"/>
        <v>0</v>
      </c>
      <c r="J203">
        <f t="shared" si="150"/>
        <v>0</v>
      </c>
      <c r="K203">
        <f t="shared" si="150"/>
        <v>0</v>
      </c>
      <c r="L203">
        <f t="shared" si="150"/>
        <v>0</v>
      </c>
      <c r="M203">
        <f t="shared" si="150"/>
        <v>1</v>
      </c>
      <c r="N203">
        <f t="shared" si="150"/>
        <v>1</v>
      </c>
      <c r="O203">
        <f t="shared" si="150"/>
        <v>1</v>
      </c>
      <c r="P203">
        <f t="shared" si="150"/>
        <v>0</v>
      </c>
      <c r="Q203">
        <f t="shared" si="150"/>
        <v>0</v>
      </c>
      <c r="R203">
        <f t="shared" si="150"/>
        <v>0</v>
      </c>
      <c r="S203">
        <f t="shared" si="150"/>
        <v>0</v>
      </c>
    </row>
    <row r="204" spans="1:22" x14ac:dyDescent="0.3">
      <c r="A204" t="s">
        <v>453</v>
      </c>
      <c r="B204">
        <f>IF(AND(B202&gt;=0.092, B202&lt;0.108),1,0)</f>
        <v>0</v>
      </c>
      <c r="C204">
        <f t="shared" ref="C204:S204" si="151">IF(AND(C202&gt;=0.092, C202&lt;0.108),1,0)</f>
        <v>1</v>
      </c>
      <c r="D204">
        <f t="shared" si="151"/>
        <v>1</v>
      </c>
      <c r="E204">
        <f t="shared" si="151"/>
        <v>1</v>
      </c>
      <c r="F204">
        <f t="shared" si="151"/>
        <v>1</v>
      </c>
      <c r="G204">
        <f t="shared" si="151"/>
        <v>0</v>
      </c>
      <c r="H204">
        <f t="shared" si="151"/>
        <v>0</v>
      </c>
      <c r="I204">
        <f t="shared" si="151"/>
        <v>0</v>
      </c>
      <c r="J204">
        <f t="shared" si="151"/>
        <v>0</v>
      </c>
      <c r="K204">
        <f t="shared" si="151"/>
        <v>0</v>
      </c>
      <c r="L204">
        <f t="shared" si="151"/>
        <v>0</v>
      </c>
      <c r="M204">
        <f t="shared" si="151"/>
        <v>0</v>
      </c>
      <c r="N204">
        <f t="shared" si="151"/>
        <v>0</v>
      </c>
      <c r="O204">
        <f t="shared" si="151"/>
        <v>0</v>
      </c>
      <c r="P204">
        <f t="shared" si="151"/>
        <v>0</v>
      </c>
      <c r="Q204">
        <f t="shared" si="151"/>
        <v>0</v>
      </c>
      <c r="R204">
        <f t="shared" si="151"/>
        <v>0</v>
      </c>
      <c r="S204">
        <f t="shared" si="151"/>
        <v>0</v>
      </c>
    </row>
    <row r="205" spans="1:22" x14ac:dyDescent="0.3">
      <c r="A205" t="s">
        <v>454</v>
      </c>
      <c r="B205">
        <f>IF(B202&gt;=0.116,1,0)</f>
        <v>0</v>
      </c>
      <c r="C205">
        <f t="shared" ref="C205:S205" si="152">IF(C202&gt;=0.116,1,0)</f>
        <v>0</v>
      </c>
      <c r="D205">
        <f t="shared" si="152"/>
        <v>0</v>
      </c>
      <c r="E205">
        <f t="shared" si="152"/>
        <v>0</v>
      </c>
      <c r="F205">
        <f t="shared" si="152"/>
        <v>0</v>
      </c>
      <c r="G205">
        <f t="shared" si="152"/>
        <v>0</v>
      </c>
      <c r="H205">
        <f t="shared" si="152"/>
        <v>1</v>
      </c>
      <c r="I205">
        <f t="shared" si="152"/>
        <v>1</v>
      </c>
      <c r="J205">
        <f t="shared" si="152"/>
        <v>1</v>
      </c>
      <c r="K205">
        <f t="shared" si="152"/>
        <v>0</v>
      </c>
      <c r="L205">
        <f t="shared" si="152"/>
        <v>0</v>
      </c>
      <c r="M205">
        <f t="shared" si="152"/>
        <v>0</v>
      </c>
      <c r="N205">
        <f t="shared" si="152"/>
        <v>0</v>
      </c>
      <c r="O205">
        <f t="shared" si="152"/>
        <v>0</v>
      </c>
      <c r="P205">
        <f t="shared" si="152"/>
        <v>0</v>
      </c>
      <c r="Q205">
        <f t="shared" si="152"/>
        <v>0</v>
      </c>
      <c r="R205">
        <f t="shared" si="152"/>
        <v>0</v>
      </c>
      <c r="S205">
        <f t="shared" si="152"/>
        <v>0</v>
      </c>
    </row>
    <row r="206" spans="1:22" x14ac:dyDescent="0.3">
      <c r="A206" t="s">
        <v>251</v>
      </c>
      <c r="B206">
        <v>0.24702002889659452</v>
      </c>
      <c r="C206">
        <v>0.2733553083359852</v>
      </c>
      <c r="D206">
        <v>0.27332152009584737</v>
      </c>
      <c r="E206">
        <v>0.29145003526655133</v>
      </c>
      <c r="F206">
        <v>0.30027381658189534</v>
      </c>
      <c r="G206">
        <v>0.33571262173194932</v>
      </c>
      <c r="H206">
        <v>0.34170684686576286</v>
      </c>
      <c r="I206">
        <v>0.35529919958142714</v>
      </c>
      <c r="J206">
        <v>0.36856942235600459</v>
      </c>
      <c r="K206">
        <v>0.32368297002204072</v>
      </c>
      <c r="L206">
        <v>0.22448537451118489</v>
      </c>
      <c r="M206">
        <v>0.23708313973445505</v>
      </c>
      <c r="N206">
        <v>0.23784434443367741</v>
      </c>
      <c r="O206">
        <v>0.25185770454171008</v>
      </c>
      <c r="P206">
        <v>1.8019526259566685E-2</v>
      </c>
      <c r="Q206">
        <v>0</v>
      </c>
      <c r="R206">
        <v>0</v>
      </c>
      <c r="S206">
        <v>0</v>
      </c>
      <c r="T206" s="8">
        <v>0.22763481581700243</v>
      </c>
      <c r="U206" s="8">
        <v>0.26258961231877875</v>
      </c>
      <c r="V206" s="8">
        <v>0.31783068166200434</v>
      </c>
    </row>
    <row r="207" spans="1:22" x14ac:dyDescent="0.3">
      <c r="A207" t="s">
        <v>449</v>
      </c>
      <c r="B207">
        <f>IF(AND(B206&gt;=0.228, B206&lt;0.263),1,0)</f>
        <v>1</v>
      </c>
      <c r="C207">
        <f t="shared" ref="C207:S207" si="153">IF(AND(C206&gt;=0.228, C206&lt;0.263),1,0)</f>
        <v>0</v>
      </c>
      <c r="D207">
        <f t="shared" si="153"/>
        <v>0</v>
      </c>
      <c r="E207">
        <f t="shared" si="153"/>
        <v>0</v>
      </c>
      <c r="F207">
        <f t="shared" si="153"/>
        <v>0</v>
      </c>
      <c r="G207">
        <f t="shared" si="153"/>
        <v>0</v>
      </c>
      <c r="H207">
        <f t="shared" si="153"/>
        <v>0</v>
      </c>
      <c r="I207">
        <f t="shared" si="153"/>
        <v>0</v>
      </c>
      <c r="J207">
        <f t="shared" si="153"/>
        <v>0</v>
      </c>
      <c r="K207">
        <f t="shared" si="153"/>
        <v>0</v>
      </c>
      <c r="L207">
        <f t="shared" si="153"/>
        <v>0</v>
      </c>
      <c r="M207">
        <f t="shared" si="153"/>
        <v>1</v>
      </c>
      <c r="N207">
        <f t="shared" si="153"/>
        <v>1</v>
      </c>
      <c r="O207">
        <f t="shared" si="153"/>
        <v>1</v>
      </c>
      <c r="P207">
        <f t="shared" si="153"/>
        <v>0</v>
      </c>
      <c r="Q207">
        <f t="shared" si="153"/>
        <v>0</v>
      </c>
      <c r="R207">
        <f t="shared" si="153"/>
        <v>0</v>
      </c>
      <c r="S207">
        <f t="shared" si="153"/>
        <v>0</v>
      </c>
    </row>
    <row r="208" spans="1:22" x14ac:dyDescent="0.3">
      <c r="A208" t="s">
        <v>450</v>
      </c>
      <c r="B208">
        <f>IF(AND(B206&gt;=0.263, B206&lt;0.318),1,0)</f>
        <v>0</v>
      </c>
      <c r="C208">
        <f t="shared" ref="C208:S208" si="154">IF(AND(C206&gt;=0.263, C206&lt;0.318),1,0)</f>
        <v>1</v>
      </c>
      <c r="D208">
        <f t="shared" si="154"/>
        <v>1</v>
      </c>
      <c r="E208">
        <f t="shared" si="154"/>
        <v>1</v>
      </c>
      <c r="F208">
        <f t="shared" si="154"/>
        <v>1</v>
      </c>
      <c r="G208">
        <f t="shared" si="154"/>
        <v>0</v>
      </c>
      <c r="H208">
        <f t="shared" si="154"/>
        <v>0</v>
      </c>
      <c r="I208">
        <f t="shared" si="154"/>
        <v>0</v>
      </c>
      <c r="J208">
        <f t="shared" si="154"/>
        <v>0</v>
      </c>
      <c r="K208">
        <f t="shared" si="154"/>
        <v>0</v>
      </c>
      <c r="L208">
        <f t="shared" si="154"/>
        <v>0</v>
      </c>
      <c r="M208">
        <f t="shared" si="154"/>
        <v>0</v>
      </c>
      <c r="N208">
        <f t="shared" si="154"/>
        <v>0</v>
      </c>
      <c r="O208">
        <f t="shared" si="154"/>
        <v>0</v>
      </c>
      <c r="P208">
        <f t="shared" si="154"/>
        <v>0</v>
      </c>
      <c r="Q208">
        <f t="shared" si="154"/>
        <v>0</v>
      </c>
      <c r="R208">
        <f t="shared" si="154"/>
        <v>0</v>
      </c>
      <c r="S208">
        <f t="shared" si="154"/>
        <v>0</v>
      </c>
    </row>
    <row r="209" spans="1:22" x14ac:dyDescent="0.3">
      <c r="A209" t="s">
        <v>451</v>
      </c>
      <c r="B209">
        <f>IF(B206&gt;=0.318,1,0)</f>
        <v>0</v>
      </c>
      <c r="C209">
        <f t="shared" ref="C209:S209" si="155">IF(C206&gt;=0.318,1,0)</f>
        <v>0</v>
      </c>
      <c r="D209">
        <f t="shared" si="155"/>
        <v>0</v>
      </c>
      <c r="E209">
        <f t="shared" si="155"/>
        <v>0</v>
      </c>
      <c r="F209">
        <f t="shared" si="155"/>
        <v>0</v>
      </c>
      <c r="G209">
        <f t="shared" si="155"/>
        <v>1</v>
      </c>
      <c r="H209">
        <f t="shared" si="155"/>
        <v>1</v>
      </c>
      <c r="I209">
        <f t="shared" si="155"/>
        <v>1</v>
      </c>
      <c r="J209">
        <f t="shared" si="155"/>
        <v>1</v>
      </c>
      <c r="K209">
        <f t="shared" si="155"/>
        <v>1</v>
      </c>
      <c r="L209">
        <f t="shared" si="155"/>
        <v>0</v>
      </c>
      <c r="M209">
        <f t="shared" si="155"/>
        <v>0</v>
      </c>
      <c r="N209">
        <f t="shared" si="155"/>
        <v>0</v>
      </c>
      <c r="O209">
        <f t="shared" si="155"/>
        <v>0</v>
      </c>
      <c r="P209">
        <f t="shared" si="155"/>
        <v>0</v>
      </c>
      <c r="Q209">
        <f t="shared" si="155"/>
        <v>0</v>
      </c>
      <c r="R209">
        <f t="shared" si="155"/>
        <v>0</v>
      </c>
      <c r="S209">
        <f t="shared" si="155"/>
        <v>0</v>
      </c>
    </row>
    <row r="210" spans="1:22" x14ac:dyDescent="0.3">
      <c r="A210" t="s">
        <v>252</v>
      </c>
      <c r="B210">
        <v>0.32805657305149183</v>
      </c>
      <c r="C210">
        <v>0.37618840606954979</v>
      </c>
      <c r="D210">
        <v>0.37612441768180321</v>
      </c>
      <c r="E210">
        <v>0.41133307426836541</v>
      </c>
      <c r="F210">
        <v>0.42913045659529636</v>
      </c>
      <c r="G210">
        <v>0.5053725732486879</v>
      </c>
      <c r="H210">
        <v>0.5190800561100215</v>
      </c>
      <c r="I210">
        <v>0.5511071172096399</v>
      </c>
      <c r="J210">
        <v>0.58370537538935341</v>
      </c>
      <c r="K210">
        <v>0.47859650973536683</v>
      </c>
      <c r="L210">
        <v>0.28946633259132848</v>
      </c>
      <c r="M210">
        <v>0.31075881538642963</v>
      </c>
      <c r="N210">
        <v>0.31206793874270511</v>
      </c>
      <c r="O210">
        <v>0.33664411980267672</v>
      </c>
      <c r="P210">
        <v>1.8350187953258407E-2</v>
      </c>
      <c r="Q210">
        <v>0</v>
      </c>
      <c r="R210">
        <v>0</v>
      </c>
      <c r="S210">
        <v>0</v>
      </c>
      <c r="T210" s="8">
        <v>0.29478945329010375</v>
      </c>
      <c r="U210" s="8">
        <v>0.35638426874223994</v>
      </c>
      <c r="V210" s="8">
        <v>0.46622999645034924</v>
      </c>
    </row>
    <row r="211" spans="1:22" x14ac:dyDescent="0.3">
      <c r="A211" t="s">
        <v>446</v>
      </c>
      <c r="B211">
        <f>IF(AND(B210&gt;=0.295, B210&lt;0.356),1,0)</f>
        <v>1</v>
      </c>
      <c r="C211">
        <f t="shared" ref="C211:S211" si="156">IF(AND(C210&gt;=0.295, C210&lt;0.356),1,0)</f>
        <v>0</v>
      </c>
      <c r="D211">
        <f t="shared" si="156"/>
        <v>0</v>
      </c>
      <c r="E211">
        <f t="shared" si="156"/>
        <v>0</v>
      </c>
      <c r="F211">
        <f t="shared" si="156"/>
        <v>0</v>
      </c>
      <c r="G211">
        <f t="shared" si="156"/>
        <v>0</v>
      </c>
      <c r="H211">
        <f t="shared" si="156"/>
        <v>0</v>
      </c>
      <c r="I211">
        <f t="shared" si="156"/>
        <v>0</v>
      </c>
      <c r="J211">
        <f t="shared" si="156"/>
        <v>0</v>
      </c>
      <c r="K211">
        <f t="shared" si="156"/>
        <v>0</v>
      </c>
      <c r="L211">
        <f t="shared" si="156"/>
        <v>0</v>
      </c>
      <c r="M211">
        <f t="shared" si="156"/>
        <v>1</v>
      </c>
      <c r="N211">
        <f t="shared" si="156"/>
        <v>1</v>
      </c>
      <c r="O211">
        <f t="shared" si="156"/>
        <v>1</v>
      </c>
      <c r="P211">
        <f t="shared" si="156"/>
        <v>0</v>
      </c>
      <c r="Q211">
        <f t="shared" si="156"/>
        <v>0</v>
      </c>
      <c r="R211">
        <f t="shared" si="156"/>
        <v>0</v>
      </c>
      <c r="S211">
        <f t="shared" si="156"/>
        <v>0</v>
      </c>
    </row>
    <row r="212" spans="1:22" x14ac:dyDescent="0.3">
      <c r="A212" t="s">
        <v>447</v>
      </c>
      <c r="B212">
        <f>IF(AND(B210&gt;=0.356, B210&lt;0.466),1,0)</f>
        <v>0</v>
      </c>
      <c r="C212">
        <f t="shared" ref="C212:S212" si="157">IF(AND(C210&gt;=0.356, C210&lt;0.466),1,0)</f>
        <v>1</v>
      </c>
      <c r="D212">
        <f t="shared" si="157"/>
        <v>1</v>
      </c>
      <c r="E212">
        <f t="shared" si="157"/>
        <v>1</v>
      </c>
      <c r="F212">
        <f t="shared" si="157"/>
        <v>1</v>
      </c>
      <c r="G212">
        <f t="shared" si="157"/>
        <v>0</v>
      </c>
      <c r="H212">
        <f t="shared" si="157"/>
        <v>0</v>
      </c>
      <c r="I212">
        <f t="shared" si="157"/>
        <v>0</v>
      </c>
      <c r="J212">
        <f t="shared" si="157"/>
        <v>0</v>
      </c>
      <c r="K212">
        <f t="shared" si="157"/>
        <v>0</v>
      </c>
      <c r="L212">
        <f t="shared" si="157"/>
        <v>0</v>
      </c>
      <c r="M212">
        <f t="shared" si="157"/>
        <v>0</v>
      </c>
      <c r="N212">
        <f t="shared" si="157"/>
        <v>0</v>
      </c>
      <c r="O212">
        <f t="shared" si="157"/>
        <v>0</v>
      </c>
      <c r="P212">
        <f t="shared" si="157"/>
        <v>0</v>
      </c>
      <c r="Q212">
        <f t="shared" si="157"/>
        <v>0</v>
      </c>
      <c r="R212">
        <f t="shared" si="157"/>
        <v>0</v>
      </c>
      <c r="S212">
        <f t="shared" si="157"/>
        <v>0</v>
      </c>
    </row>
    <row r="213" spans="1:22" x14ac:dyDescent="0.3">
      <c r="A213" t="s">
        <v>448</v>
      </c>
      <c r="B213">
        <f>IF(B210&gt;=0.466,1,0)</f>
        <v>0</v>
      </c>
      <c r="C213">
        <f t="shared" ref="C213:S213" si="158">IF(C210&gt;=0.466,1,0)</f>
        <v>0</v>
      </c>
      <c r="D213">
        <f t="shared" si="158"/>
        <v>0</v>
      </c>
      <c r="E213">
        <f t="shared" si="158"/>
        <v>0</v>
      </c>
      <c r="F213">
        <f t="shared" si="158"/>
        <v>0</v>
      </c>
      <c r="G213">
        <f t="shared" si="158"/>
        <v>1</v>
      </c>
      <c r="H213">
        <f t="shared" si="158"/>
        <v>1</v>
      </c>
      <c r="I213">
        <f t="shared" si="158"/>
        <v>1</v>
      </c>
      <c r="J213">
        <f t="shared" si="158"/>
        <v>1</v>
      </c>
      <c r="K213">
        <f t="shared" si="158"/>
        <v>1</v>
      </c>
      <c r="L213">
        <f t="shared" si="158"/>
        <v>0</v>
      </c>
      <c r="M213">
        <f t="shared" si="158"/>
        <v>0</v>
      </c>
      <c r="N213">
        <f t="shared" si="158"/>
        <v>0</v>
      </c>
      <c r="O213">
        <f t="shared" si="158"/>
        <v>0</v>
      </c>
      <c r="P213">
        <f t="shared" si="158"/>
        <v>0</v>
      </c>
      <c r="Q213">
        <f t="shared" si="158"/>
        <v>0</v>
      </c>
      <c r="R213">
        <f t="shared" si="158"/>
        <v>0</v>
      </c>
      <c r="S213">
        <f t="shared" si="158"/>
        <v>0</v>
      </c>
    </row>
    <row r="214" spans="1:22" x14ac:dyDescent="0.3">
      <c r="A214" t="s">
        <v>253</v>
      </c>
      <c r="B214">
        <v>3.4720968905823573</v>
      </c>
      <c r="C214">
        <v>3.6508746988253797</v>
      </c>
      <c r="D214">
        <v>3.4842804649335584</v>
      </c>
      <c r="E214">
        <v>3.6628691027864582</v>
      </c>
      <c r="F214">
        <v>3.9602315730304145</v>
      </c>
      <c r="G214">
        <v>4.2435911840067639</v>
      </c>
      <c r="H214">
        <v>4.0993694060585728</v>
      </c>
      <c r="I214">
        <v>4.2682878002826188</v>
      </c>
      <c r="J214">
        <v>4.5022924794291779</v>
      </c>
      <c r="K214">
        <v>4.0742106131238236</v>
      </c>
      <c r="L214">
        <v>3.4631980378583038</v>
      </c>
      <c r="M214">
        <v>3.4833818533485772</v>
      </c>
      <c r="N214">
        <v>3.4172222028739623</v>
      </c>
      <c r="O214">
        <v>3.4698019628491599</v>
      </c>
      <c r="P214">
        <v>3.1159824227396924</v>
      </c>
      <c r="Q214">
        <v>2.9640259789801671</v>
      </c>
      <c r="R214">
        <v>2.6772250739504044</v>
      </c>
      <c r="S214">
        <v>2.6162557995739903</v>
      </c>
      <c r="T214" s="8">
        <v>3.4287161616200477</v>
      </c>
      <c r="U214" s="8">
        <v>3.4838311591410678</v>
      </c>
      <c r="V214" s="8">
        <v>4.0457158531004715</v>
      </c>
    </row>
    <row r="215" spans="1:22" x14ac:dyDescent="0.3">
      <c r="A215" t="s">
        <v>443</v>
      </c>
      <c r="B215">
        <f>IF(AND(B214&gt;=3.429, B214&lt;3.484),1,0)</f>
        <v>1</v>
      </c>
      <c r="C215">
        <f t="shared" ref="C215:R215" si="159">IF(AND(C214&gt;=3.429, C214&lt;3.484),1,0)</f>
        <v>0</v>
      </c>
      <c r="D215">
        <f t="shared" si="159"/>
        <v>0</v>
      </c>
      <c r="E215">
        <f t="shared" si="159"/>
        <v>0</v>
      </c>
      <c r="F215">
        <f t="shared" si="159"/>
        <v>0</v>
      </c>
      <c r="G215">
        <f t="shared" si="159"/>
        <v>0</v>
      </c>
      <c r="H215">
        <f t="shared" si="159"/>
        <v>0</v>
      </c>
      <c r="I215">
        <f t="shared" si="159"/>
        <v>0</v>
      </c>
      <c r="J215">
        <f t="shared" si="159"/>
        <v>0</v>
      </c>
      <c r="K215">
        <f t="shared" si="159"/>
        <v>0</v>
      </c>
      <c r="L215">
        <f t="shared" si="159"/>
        <v>1</v>
      </c>
      <c r="M215">
        <f t="shared" si="159"/>
        <v>1</v>
      </c>
      <c r="N215">
        <f t="shared" si="159"/>
        <v>0</v>
      </c>
      <c r="O215">
        <f t="shared" si="159"/>
        <v>1</v>
      </c>
      <c r="P215">
        <f t="shared" si="159"/>
        <v>0</v>
      </c>
      <c r="Q215">
        <f t="shared" si="159"/>
        <v>0</v>
      </c>
      <c r="R215">
        <f t="shared" si="159"/>
        <v>0</v>
      </c>
      <c r="S215">
        <f>IF(AND(S214&gt;=3.429, S214&lt;3.484),1,0)</f>
        <v>0</v>
      </c>
    </row>
    <row r="216" spans="1:22" x14ac:dyDescent="0.3">
      <c r="A216" t="s">
        <v>444</v>
      </c>
      <c r="B216">
        <f>IF(AND(B214&gt;=3.484, B214&lt;4.046),1,0)</f>
        <v>0</v>
      </c>
      <c r="C216">
        <f t="shared" ref="C216:S216" si="160">IF(AND(C214&gt;=3.484, C214&lt;4.046),1,0)</f>
        <v>1</v>
      </c>
      <c r="D216">
        <f t="shared" si="160"/>
        <v>1</v>
      </c>
      <c r="E216">
        <f t="shared" si="160"/>
        <v>1</v>
      </c>
      <c r="F216">
        <f t="shared" si="160"/>
        <v>1</v>
      </c>
      <c r="G216">
        <f t="shared" si="160"/>
        <v>0</v>
      </c>
      <c r="H216">
        <f t="shared" si="160"/>
        <v>0</v>
      </c>
      <c r="I216">
        <f t="shared" si="160"/>
        <v>0</v>
      </c>
      <c r="J216">
        <f t="shared" si="160"/>
        <v>0</v>
      </c>
      <c r="K216">
        <f t="shared" si="160"/>
        <v>0</v>
      </c>
      <c r="L216">
        <f t="shared" si="160"/>
        <v>0</v>
      </c>
      <c r="M216">
        <f t="shared" si="160"/>
        <v>0</v>
      </c>
      <c r="N216">
        <f t="shared" si="160"/>
        <v>0</v>
      </c>
      <c r="O216">
        <f t="shared" si="160"/>
        <v>0</v>
      </c>
      <c r="P216">
        <f t="shared" si="160"/>
        <v>0</v>
      </c>
      <c r="Q216">
        <f t="shared" si="160"/>
        <v>0</v>
      </c>
      <c r="R216">
        <f t="shared" si="160"/>
        <v>0</v>
      </c>
      <c r="S216">
        <f t="shared" si="160"/>
        <v>0</v>
      </c>
    </row>
    <row r="217" spans="1:22" x14ac:dyDescent="0.3">
      <c r="A217" t="s">
        <v>445</v>
      </c>
      <c r="B217">
        <f>IF(B214&gt;=4.046,1,0)</f>
        <v>0</v>
      </c>
      <c r="C217">
        <f t="shared" ref="C217:S217" si="161">IF(C214&gt;=4.046,1,0)</f>
        <v>0</v>
      </c>
      <c r="D217">
        <f t="shared" si="161"/>
        <v>0</v>
      </c>
      <c r="E217">
        <f t="shared" si="161"/>
        <v>0</v>
      </c>
      <c r="F217">
        <f t="shared" si="161"/>
        <v>0</v>
      </c>
      <c r="G217">
        <f t="shared" si="161"/>
        <v>1</v>
      </c>
      <c r="H217">
        <f t="shared" si="161"/>
        <v>1</v>
      </c>
      <c r="I217">
        <f t="shared" si="161"/>
        <v>1</v>
      </c>
      <c r="J217">
        <f t="shared" si="161"/>
        <v>1</v>
      </c>
      <c r="K217">
        <f t="shared" si="161"/>
        <v>1</v>
      </c>
      <c r="L217">
        <f t="shared" si="161"/>
        <v>0</v>
      </c>
      <c r="M217">
        <f t="shared" si="161"/>
        <v>0</v>
      </c>
      <c r="N217">
        <f t="shared" si="161"/>
        <v>0</v>
      </c>
      <c r="O217">
        <f t="shared" si="161"/>
        <v>0</v>
      </c>
      <c r="P217">
        <f t="shared" si="161"/>
        <v>0</v>
      </c>
      <c r="Q217">
        <f t="shared" si="161"/>
        <v>0</v>
      </c>
      <c r="R217">
        <f t="shared" si="161"/>
        <v>0</v>
      </c>
      <c r="S217">
        <f t="shared" si="161"/>
        <v>0</v>
      </c>
    </row>
    <row r="218" spans="1:22" x14ac:dyDescent="0.3">
      <c r="A218" t="s">
        <v>254</v>
      </c>
      <c r="B218">
        <v>9.1280829710714884E-2</v>
      </c>
      <c r="C218">
        <v>0.10912938994319588</v>
      </c>
      <c r="D218">
        <v>9.9108805846634451E-2</v>
      </c>
      <c r="E218">
        <v>9.6002549926558836E-2</v>
      </c>
      <c r="F218">
        <v>0.10906663204573559</v>
      </c>
      <c r="G218">
        <v>0.11695888384286925</v>
      </c>
      <c r="H218">
        <v>0.10474073027641874</v>
      </c>
      <c r="I218">
        <v>0.10974504451634325</v>
      </c>
      <c r="J218">
        <v>0.125562835896571</v>
      </c>
      <c r="K218">
        <v>0.12282936400292027</v>
      </c>
      <c r="L218">
        <v>0.1166856653913753</v>
      </c>
      <c r="M218">
        <v>0.12323682825266893</v>
      </c>
      <c r="N218">
        <v>0.12915099755486789</v>
      </c>
      <c r="O218">
        <v>0.14586554777457519</v>
      </c>
      <c r="P218">
        <v>0.14227957497433388</v>
      </c>
      <c r="Q218">
        <v>0.1656877786698876</v>
      </c>
      <c r="R218">
        <v>0.12425590127880946</v>
      </c>
      <c r="S218">
        <v>0.13245419301760233</v>
      </c>
      <c r="T218" s="8">
        <v>0.10908232152010067</v>
      </c>
      <c r="U218" s="8">
        <v>0.11989412392289475</v>
      </c>
      <c r="V218" s="8">
        <v>0.12825395714029367</v>
      </c>
    </row>
    <row r="219" spans="1:22" x14ac:dyDescent="0.3">
      <c r="A219" t="s">
        <v>440</v>
      </c>
      <c r="B219">
        <f>IF(AND(B218&gt;=0.109, B218&lt;0.12),1,0)</f>
        <v>0</v>
      </c>
      <c r="C219">
        <f t="shared" ref="C219:S219" si="162">IF(AND(C218&gt;=0.109, C218&lt;0.12),1,0)</f>
        <v>1</v>
      </c>
      <c r="D219">
        <f t="shared" si="162"/>
        <v>0</v>
      </c>
      <c r="E219">
        <f t="shared" si="162"/>
        <v>0</v>
      </c>
      <c r="F219">
        <f t="shared" si="162"/>
        <v>1</v>
      </c>
      <c r="G219">
        <f t="shared" si="162"/>
        <v>1</v>
      </c>
      <c r="H219">
        <f t="shared" si="162"/>
        <v>0</v>
      </c>
      <c r="I219">
        <f t="shared" si="162"/>
        <v>1</v>
      </c>
      <c r="J219">
        <f t="shared" si="162"/>
        <v>0</v>
      </c>
      <c r="K219">
        <f t="shared" si="162"/>
        <v>0</v>
      </c>
      <c r="L219">
        <f t="shared" si="162"/>
        <v>1</v>
      </c>
      <c r="M219">
        <f t="shared" si="162"/>
        <v>0</v>
      </c>
      <c r="N219">
        <f t="shared" si="162"/>
        <v>0</v>
      </c>
      <c r="O219">
        <f t="shared" si="162"/>
        <v>0</v>
      </c>
      <c r="P219">
        <f t="shared" si="162"/>
        <v>0</v>
      </c>
      <c r="Q219">
        <f t="shared" si="162"/>
        <v>0</v>
      </c>
      <c r="R219">
        <f t="shared" si="162"/>
        <v>0</v>
      </c>
      <c r="S219">
        <f t="shared" si="162"/>
        <v>0</v>
      </c>
    </row>
    <row r="220" spans="1:22" x14ac:dyDescent="0.3">
      <c r="A220" t="s">
        <v>441</v>
      </c>
      <c r="B220">
        <f>IF(AND(B218&gt;=0.12, B218&lt;0.128),1,0)</f>
        <v>0</v>
      </c>
      <c r="C220">
        <f t="shared" ref="C220:S220" si="163">IF(AND(C218&gt;=0.12, C218&lt;0.128),1,0)</f>
        <v>0</v>
      </c>
      <c r="D220">
        <f t="shared" si="163"/>
        <v>0</v>
      </c>
      <c r="E220">
        <f t="shared" si="163"/>
        <v>0</v>
      </c>
      <c r="F220">
        <f t="shared" si="163"/>
        <v>0</v>
      </c>
      <c r="G220">
        <f t="shared" si="163"/>
        <v>0</v>
      </c>
      <c r="H220">
        <f t="shared" si="163"/>
        <v>0</v>
      </c>
      <c r="I220">
        <f t="shared" si="163"/>
        <v>0</v>
      </c>
      <c r="J220">
        <f t="shared" si="163"/>
        <v>1</v>
      </c>
      <c r="K220">
        <f t="shared" si="163"/>
        <v>1</v>
      </c>
      <c r="L220">
        <f t="shared" si="163"/>
        <v>0</v>
      </c>
      <c r="M220">
        <f t="shared" si="163"/>
        <v>1</v>
      </c>
      <c r="N220">
        <f t="shared" si="163"/>
        <v>0</v>
      </c>
      <c r="O220">
        <f t="shared" si="163"/>
        <v>0</v>
      </c>
      <c r="P220">
        <f t="shared" si="163"/>
        <v>0</v>
      </c>
      <c r="Q220">
        <f t="shared" si="163"/>
        <v>0</v>
      </c>
      <c r="R220">
        <f t="shared" si="163"/>
        <v>1</v>
      </c>
      <c r="S220">
        <f t="shared" si="163"/>
        <v>0</v>
      </c>
    </row>
    <row r="221" spans="1:22" x14ac:dyDescent="0.3">
      <c r="A221" t="s">
        <v>442</v>
      </c>
      <c r="B221">
        <f>IF(B218&gt;=0.128,1,0)</f>
        <v>0</v>
      </c>
      <c r="C221">
        <f t="shared" ref="C221:S221" si="164">IF(C218&gt;=0.128,1,0)</f>
        <v>0</v>
      </c>
      <c r="D221">
        <f t="shared" si="164"/>
        <v>0</v>
      </c>
      <c r="E221">
        <f t="shared" si="164"/>
        <v>0</v>
      </c>
      <c r="F221">
        <f t="shared" si="164"/>
        <v>0</v>
      </c>
      <c r="G221">
        <f t="shared" si="164"/>
        <v>0</v>
      </c>
      <c r="H221">
        <f t="shared" si="164"/>
        <v>0</v>
      </c>
      <c r="I221">
        <f t="shared" si="164"/>
        <v>0</v>
      </c>
      <c r="J221">
        <f t="shared" si="164"/>
        <v>0</v>
      </c>
      <c r="K221">
        <f t="shared" si="164"/>
        <v>0</v>
      </c>
      <c r="L221">
        <f t="shared" si="164"/>
        <v>0</v>
      </c>
      <c r="M221">
        <f t="shared" si="164"/>
        <v>0</v>
      </c>
      <c r="N221">
        <f t="shared" si="164"/>
        <v>1</v>
      </c>
      <c r="O221">
        <f t="shared" si="164"/>
        <v>1</v>
      </c>
      <c r="P221">
        <f t="shared" si="164"/>
        <v>1</v>
      </c>
      <c r="Q221">
        <f t="shared" si="164"/>
        <v>1</v>
      </c>
      <c r="R221">
        <f t="shared" si="164"/>
        <v>0</v>
      </c>
      <c r="S221">
        <f t="shared" si="164"/>
        <v>1</v>
      </c>
    </row>
    <row r="222" spans="1:22" x14ac:dyDescent="0.3">
      <c r="A222" t="s">
        <v>255</v>
      </c>
      <c r="B222">
        <v>2.6266792241407724</v>
      </c>
      <c r="C222">
        <v>3.0873510571741387</v>
      </c>
      <c r="D222">
        <v>5.6154669024315842</v>
      </c>
      <c r="E222">
        <v>5.1759910745227575</v>
      </c>
      <c r="F222">
        <v>4.4735696403205845</v>
      </c>
      <c r="G222">
        <v>3.7858666246175661</v>
      </c>
      <c r="H222">
        <v>3.802145934868276</v>
      </c>
      <c r="I222">
        <v>4.4080572409668139</v>
      </c>
      <c r="J222">
        <v>-54.495847966728284</v>
      </c>
      <c r="K222">
        <v>-8.6376728574429347</v>
      </c>
      <c r="L222">
        <v>3.2030675091605043</v>
      </c>
      <c r="M222">
        <v>4.4021013763438104</v>
      </c>
      <c r="N222">
        <v>4.7817881316115258</v>
      </c>
      <c r="O222">
        <v>4.3043346565478666</v>
      </c>
      <c r="P222">
        <v>0.29187759257679508</v>
      </c>
      <c r="Q222">
        <v>1.5305230621159398</v>
      </c>
      <c r="R222">
        <v>0.71872127239886729</v>
      </c>
      <c r="S222">
        <v>0.81970887957755378</v>
      </c>
      <c r="T222" s="8">
        <v>0.99741242521215034</v>
      </c>
      <c r="U222" s="8">
        <v>3.494467066889035</v>
      </c>
      <c r="V222" s="8">
        <v>4.4065682748110628</v>
      </c>
    </row>
    <row r="223" spans="1:22" x14ac:dyDescent="0.3">
      <c r="A223" t="s">
        <v>437</v>
      </c>
      <c r="B223">
        <f>IF(AND(B222&gt;=0.997, B222&lt;3.494),1,0)</f>
        <v>1</v>
      </c>
      <c r="C223">
        <f t="shared" ref="C223:S223" si="165">IF(AND(C222&gt;=0.997, C222&lt;3.494),1,0)</f>
        <v>1</v>
      </c>
      <c r="D223">
        <f t="shared" si="165"/>
        <v>0</v>
      </c>
      <c r="E223">
        <f t="shared" si="165"/>
        <v>0</v>
      </c>
      <c r="F223">
        <f t="shared" si="165"/>
        <v>0</v>
      </c>
      <c r="G223">
        <f t="shared" si="165"/>
        <v>0</v>
      </c>
      <c r="H223">
        <f t="shared" si="165"/>
        <v>0</v>
      </c>
      <c r="I223">
        <f t="shared" si="165"/>
        <v>0</v>
      </c>
      <c r="J223">
        <f t="shared" si="165"/>
        <v>0</v>
      </c>
      <c r="K223">
        <f t="shared" si="165"/>
        <v>0</v>
      </c>
      <c r="L223">
        <f t="shared" si="165"/>
        <v>1</v>
      </c>
      <c r="M223">
        <f t="shared" si="165"/>
        <v>0</v>
      </c>
      <c r="N223">
        <f t="shared" si="165"/>
        <v>0</v>
      </c>
      <c r="O223">
        <f t="shared" si="165"/>
        <v>0</v>
      </c>
      <c r="P223">
        <f t="shared" si="165"/>
        <v>0</v>
      </c>
      <c r="Q223">
        <f t="shared" si="165"/>
        <v>1</v>
      </c>
      <c r="R223">
        <f t="shared" si="165"/>
        <v>0</v>
      </c>
      <c r="S223">
        <f t="shared" si="165"/>
        <v>0</v>
      </c>
    </row>
    <row r="224" spans="1:22" x14ac:dyDescent="0.3">
      <c r="A224" t="s">
        <v>438</v>
      </c>
      <c r="B224">
        <f>IF(AND(B222&gt;=3.494, B222&lt;4.407),1,0)</f>
        <v>0</v>
      </c>
      <c r="C224">
        <f t="shared" ref="C224:S224" si="166">IF(AND(C222&gt;=3.494, C222&lt;4.407),1,0)</f>
        <v>0</v>
      </c>
      <c r="D224">
        <f t="shared" si="166"/>
        <v>0</v>
      </c>
      <c r="E224">
        <f t="shared" si="166"/>
        <v>0</v>
      </c>
      <c r="F224">
        <f t="shared" si="166"/>
        <v>0</v>
      </c>
      <c r="G224">
        <f t="shared" si="166"/>
        <v>1</v>
      </c>
      <c r="H224">
        <f t="shared" si="166"/>
        <v>1</v>
      </c>
      <c r="I224">
        <f t="shared" si="166"/>
        <v>0</v>
      </c>
      <c r="J224">
        <f t="shared" si="166"/>
        <v>0</v>
      </c>
      <c r="K224">
        <f t="shared" si="166"/>
        <v>0</v>
      </c>
      <c r="L224">
        <f t="shared" si="166"/>
        <v>0</v>
      </c>
      <c r="M224">
        <f t="shared" si="166"/>
        <v>1</v>
      </c>
      <c r="N224">
        <f t="shared" si="166"/>
        <v>0</v>
      </c>
      <c r="O224">
        <f t="shared" si="166"/>
        <v>1</v>
      </c>
      <c r="P224">
        <f t="shared" si="166"/>
        <v>0</v>
      </c>
      <c r="Q224">
        <f t="shared" si="166"/>
        <v>0</v>
      </c>
      <c r="R224">
        <f t="shared" si="166"/>
        <v>0</v>
      </c>
      <c r="S224">
        <f t="shared" si="166"/>
        <v>0</v>
      </c>
    </row>
    <row r="225" spans="1:22" x14ac:dyDescent="0.3">
      <c r="A225" t="s">
        <v>439</v>
      </c>
      <c r="B225">
        <f>IF(B222&gt;=4.407,1,0)</f>
        <v>0</v>
      </c>
      <c r="C225">
        <f t="shared" ref="C225:S225" si="167">IF(C222&gt;=4.407,1,0)</f>
        <v>0</v>
      </c>
      <c r="D225">
        <f t="shared" si="167"/>
        <v>1</v>
      </c>
      <c r="E225">
        <f t="shared" si="167"/>
        <v>1</v>
      </c>
      <c r="F225">
        <f t="shared" si="167"/>
        <v>1</v>
      </c>
      <c r="G225">
        <f t="shared" si="167"/>
        <v>0</v>
      </c>
      <c r="H225">
        <f t="shared" si="167"/>
        <v>0</v>
      </c>
      <c r="I225">
        <f t="shared" si="167"/>
        <v>1</v>
      </c>
      <c r="J225">
        <f t="shared" si="167"/>
        <v>0</v>
      </c>
      <c r="K225">
        <f t="shared" si="167"/>
        <v>0</v>
      </c>
      <c r="L225">
        <f t="shared" si="167"/>
        <v>0</v>
      </c>
      <c r="M225">
        <f t="shared" si="167"/>
        <v>0</v>
      </c>
      <c r="N225">
        <f t="shared" si="167"/>
        <v>1</v>
      </c>
      <c r="O225">
        <f t="shared" si="167"/>
        <v>0</v>
      </c>
      <c r="P225">
        <f t="shared" si="167"/>
        <v>0</v>
      </c>
      <c r="Q225">
        <f t="shared" si="167"/>
        <v>0</v>
      </c>
      <c r="R225">
        <f t="shared" si="167"/>
        <v>0</v>
      </c>
      <c r="S225">
        <f t="shared" si="167"/>
        <v>0</v>
      </c>
    </row>
    <row r="226" spans="1:22" x14ac:dyDescent="0.3">
      <c r="A226" t="s">
        <v>256</v>
      </c>
      <c r="B226">
        <v>1.9271530448494498</v>
      </c>
      <c r="C226">
        <v>2.2855759478072111</v>
      </c>
      <c r="D226">
        <v>4.4783365130575508</v>
      </c>
      <c r="E226">
        <v>4.2166322268346814</v>
      </c>
      <c r="F226">
        <v>3.4898978165036212</v>
      </c>
      <c r="G226">
        <v>3.1782241560057276</v>
      </c>
      <c r="H226">
        <v>3.3325212124597061</v>
      </c>
      <c r="I226">
        <v>3.6891009921698745</v>
      </c>
      <c r="J226">
        <v>-48.504905268022178</v>
      </c>
      <c r="K226">
        <v>-7.4820959074359337</v>
      </c>
      <c r="L226">
        <v>2.5404687972405346</v>
      </c>
      <c r="M226">
        <v>3.6779240094106789</v>
      </c>
      <c r="N226">
        <v>4.0463170050069328</v>
      </c>
      <c r="O226">
        <v>3.6669180177854348</v>
      </c>
      <c r="P226">
        <v>-9.2600202377905713E-2</v>
      </c>
      <c r="Q226">
        <v>-0.69226512178870214</v>
      </c>
      <c r="R226">
        <v>-0.83534320677405494</v>
      </c>
      <c r="S226">
        <v>0.58634681709947334</v>
      </c>
      <c r="T226" s="8">
        <v>7.7136552491439039E-2</v>
      </c>
      <c r="U226" s="8">
        <v>2.8593464766231311</v>
      </c>
      <c r="V226" s="8">
        <v>3.6751725115043676</v>
      </c>
    </row>
    <row r="227" spans="1:22" x14ac:dyDescent="0.3">
      <c r="A227" t="s">
        <v>434</v>
      </c>
      <c r="B227">
        <f>IF(AND(B226&gt;=0.077, B226&lt;2.859),1,0)</f>
        <v>1</v>
      </c>
      <c r="C227">
        <f t="shared" ref="C227:S227" si="168">IF(AND(C226&gt;=0.077, C226&lt;2.859),1,0)</f>
        <v>1</v>
      </c>
      <c r="D227">
        <f t="shared" si="168"/>
        <v>0</v>
      </c>
      <c r="E227">
        <f t="shared" si="168"/>
        <v>0</v>
      </c>
      <c r="F227">
        <f t="shared" si="168"/>
        <v>0</v>
      </c>
      <c r="G227">
        <f t="shared" si="168"/>
        <v>0</v>
      </c>
      <c r="H227">
        <f t="shared" si="168"/>
        <v>0</v>
      </c>
      <c r="I227">
        <f t="shared" si="168"/>
        <v>0</v>
      </c>
      <c r="J227">
        <f t="shared" si="168"/>
        <v>0</v>
      </c>
      <c r="K227">
        <f t="shared" si="168"/>
        <v>0</v>
      </c>
      <c r="L227">
        <f t="shared" si="168"/>
        <v>1</v>
      </c>
      <c r="M227">
        <f t="shared" si="168"/>
        <v>0</v>
      </c>
      <c r="N227">
        <f t="shared" si="168"/>
        <v>0</v>
      </c>
      <c r="O227">
        <f t="shared" si="168"/>
        <v>0</v>
      </c>
      <c r="P227">
        <f t="shared" si="168"/>
        <v>0</v>
      </c>
      <c r="Q227">
        <f t="shared" si="168"/>
        <v>0</v>
      </c>
      <c r="R227">
        <f t="shared" si="168"/>
        <v>0</v>
      </c>
      <c r="S227">
        <f t="shared" si="168"/>
        <v>1</v>
      </c>
    </row>
    <row r="228" spans="1:22" x14ac:dyDescent="0.3">
      <c r="A228" t="s">
        <v>435</v>
      </c>
      <c r="B228">
        <f>IF(AND(B226&gt;=2.859, B226&lt;3.675),1,0)</f>
        <v>0</v>
      </c>
      <c r="C228">
        <f t="shared" ref="C228:S228" si="169">IF(AND(C226&gt;=2.859, C226&lt;3.675),1,0)</f>
        <v>0</v>
      </c>
      <c r="D228">
        <f t="shared" si="169"/>
        <v>0</v>
      </c>
      <c r="E228">
        <f t="shared" si="169"/>
        <v>0</v>
      </c>
      <c r="F228">
        <f t="shared" si="169"/>
        <v>1</v>
      </c>
      <c r="G228">
        <f t="shared" si="169"/>
        <v>1</v>
      </c>
      <c r="H228">
        <f t="shared" si="169"/>
        <v>1</v>
      </c>
      <c r="I228">
        <f t="shared" si="169"/>
        <v>0</v>
      </c>
      <c r="J228">
        <f t="shared" si="169"/>
        <v>0</v>
      </c>
      <c r="K228">
        <f t="shared" si="169"/>
        <v>0</v>
      </c>
      <c r="L228">
        <f t="shared" si="169"/>
        <v>0</v>
      </c>
      <c r="M228">
        <f t="shared" si="169"/>
        <v>0</v>
      </c>
      <c r="N228">
        <f t="shared" si="169"/>
        <v>0</v>
      </c>
      <c r="O228">
        <f t="shared" si="169"/>
        <v>1</v>
      </c>
      <c r="P228">
        <f t="shared" si="169"/>
        <v>0</v>
      </c>
      <c r="Q228">
        <f t="shared" si="169"/>
        <v>0</v>
      </c>
      <c r="R228">
        <f t="shared" si="169"/>
        <v>0</v>
      </c>
      <c r="S228">
        <f t="shared" si="169"/>
        <v>0</v>
      </c>
    </row>
    <row r="229" spans="1:22" x14ac:dyDescent="0.3">
      <c r="A229" t="s">
        <v>436</v>
      </c>
      <c r="B229">
        <f>IF(B226&gt;=3.675,1,0)</f>
        <v>0</v>
      </c>
      <c r="C229">
        <f t="shared" ref="C229:S229" si="170">IF(C226&gt;=3.675,1,0)</f>
        <v>0</v>
      </c>
      <c r="D229">
        <f t="shared" si="170"/>
        <v>1</v>
      </c>
      <c r="E229">
        <f t="shared" si="170"/>
        <v>1</v>
      </c>
      <c r="F229">
        <f t="shared" si="170"/>
        <v>0</v>
      </c>
      <c r="G229">
        <f t="shared" si="170"/>
        <v>0</v>
      </c>
      <c r="H229">
        <f t="shared" si="170"/>
        <v>0</v>
      </c>
      <c r="I229">
        <f t="shared" si="170"/>
        <v>1</v>
      </c>
      <c r="J229">
        <f t="shared" si="170"/>
        <v>0</v>
      </c>
      <c r="K229">
        <f t="shared" si="170"/>
        <v>0</v>
      </c>
      <c r="L229">
        <f t="shared" si="170"/>
        <v>0</v>
      </c>
      <c r="M229">
        <f t="shared" si="170"/>
        <v>1</v>
      </c>
      <c r="N229">
        <f t="shared" si="170"/>
        <v>1</v>
      </c>
      <c r="O229">
        <f t="shared" si="170"/>
        <v>0</v>
      </c>
      <c r="P229">
        <f t="shared" si="170"/>
        <v>0</v>
      </c>
      <c r="Q229">
        <f t="shared" si="170"/>
        <v>0</v>
      </c>
      <c r="R229">
        <f t="shared" si="170"/>
        <v>0</v>
      </c>
      <c r="S229">
        <f t="shared" si="170"/>
        <v>0</v>
      </c>
    </row>
    <row r="230" spans="1:22" x14ac:dyDescent="0.3">
      <c r="A230" t="s">
        <v>257</v>
      </c>
      <c r="B230">
        <v>7.4962732898272997E-3</v>
      </c>
      <c r="C230">
        <v>7.4522260297795436E-3</v>
      </c>
      <c r="D230">
        <v>7.151154820029715E-3</v>
      </c>
      <c r="E230">
        <v>6.9151382221891806E-3</v>
      </c>
      <c r="F230">
        <v>7.4148807603658592E-3</v>
      </c>
      <c r="G230">
        <v>6.8537520032282851E-3</v>
      </c>
      <c r="H230">
        <v>6.4185869143321651E-3</v>
      </c>
      <c r="I230">
        <v>6.4333292523845419E-3</v>
      </c>
      <c r="J230">
        <v>6.5211686877907019E-3</v>
      </c>
      <c r="K230">
        <v>7.7923838639335392E-3</v>
      </c>
      <c r="L230">
        <v>3.9881507162405237E-3</v>
      </c>
      <c r="M230">
        <v>3.9132251924793617E-3</v>
      </c>
      <c r="N230">
        <v>3.5971916417501266E-3</v>
      </c>
      <c r="O230">
        <v>3.9894592287421596E-3</v>
      </c>
      <c r="P230">
        <v>3.1184228425735556E-2</v>
      </c>
      <c r="Q230">
        <v>6.3483252732156187E-2</v>
      </c>
      <c r="R230">
        <v>8.4351675544521845E-2</v>
      </c>
      <c r="S230">
        <v>2.273283345206055E-2</v>
      </c>
      <c r="T230" s="8">
        <v>6.4222724988452591E-3</v>
      </c>
      <c r="U230" s="8">
        <v>7.0331465211094478E-3</v>
      </c>
      <c r="V230" s="8">
        <v>7.7183562204069791E-3</v>
      </c>
    </row>
    <row r="231" spans="1:22" x14ac:dyDescent="0.3">
      <c r="A231" t="s">
        <v>431</v>
      </c>
      <c r="B231">
        <f>IF(AND(B230&gt;=0.006, B230&lt;0.007),1,0)</f>
        <v>0</v>
      </c>
      <c r="C231">
        <f t="shared" ref="C231:S231" si="171">IF(AND(C230&gt;=0.006, C230&lt;0.007),1,0)</f>
        <v>0</v>
      </c>
      <c r="D231">
        <f t="shared" si="171"/>
        <v>0</v>
      </c>
      <c r="E231">
        <f t="shared" si="171"/>
        <v>1</v>
      </c>
      <c r="F231">
        <f t="shared" si="171"/>
        <v>0</v>
      </c>
      <c r="G231">
        <f t="shared" si="171"/>
        <v>1</v>
      </c>
      <c r="H231">
        <f t="shared" si="171"/>
        <v>1</v>
      </c>
      <c r="I231">
        <f t="shared" si="171"/>
        <v>1</v>
      </c>
      <c r="J231">
        <f t="shared" si="171"/>
        <v>1</v>
      </c>
      <c r="K231">
        <f t="shared" si="171"/>
        <v>0</v>
      </c>
      <c r="L231">
        <f t="shared" si="171"/>
        <v>0</v>
      </c>
      <c r="M231">
        <f t="shared" si="171"/>
        <v>0</v>
      </c>
      <c r="N231">
        <f t="shared" si="171"/>
        <v>0</v>
      </c>
      <c r="O231">
        <f t="shared" si="171"/>
        <v>0</v>
      </c>
      <c r="P231">
        <f t="shared" si="171"/>
        <v>0</v>
      </c>
      <c r="Q231">
        <f t="shared" si="171"/>
        <v>0</v>
      </c>
      <c r="R231">
        <f t="shared" si="171"/>
        <v>0</v>
      </c>
      <c r="S231">
        <f t="shared" si="171"/>
        <v>0</v>
      </c>
    </row>
    <row r="232" spans="1:22" x14ac:dyDescent="0.3">
      <c r="A232" t="s">
        <v>432</v>
      </c>
      <c r="B232">
        <f>IF(AND(B230&gt;=0.007, B230&lt;0.0077),1,0)</f>
        <v>1</v>
      </c>
      <c r="C232">
        <f t="shared" ref="C232:S232" si="172">IF(AND(C230&gt;=0.007, C230&lt;0.0077),1,0)</f>
        <v>1</v>
      </c>
      <c r="D232">
        <f t="shared" si="172"/>
        <v>1</v>
      </c>
      <c r="E232">
        <f t="shared" si="172"/>
        <v>0</v>
      </c>
      <c r="F232">
        <f t="shared" si="172"/>
        <v>1</v>
      </c>
      <c r="G232">
        <f t="shared" si="172"/>
        <v>0</v>
      </c>
      <c r="H232">
        <f t="shared" si="172"/>
        <v>0</v>
      </c>
      <c r="I232">
        <f t="shared" si="172"/>
        <v>0</v>
      </c>
      <c r="J232">
        <f t="shared" si="172"/>
        <v>0</v>
      </c>
      <c r="K232">
        <f t="shared" si="172"/>
        <v>0</v>
      </c>
      <c r="L232">
        <f t="shared" si="172"/>
        <v>0</v>
      </c>
      <c r="M232">
        <f t="shared" si="172"/>
        <v>0</v>
      </c>
      <c r="N232">
        <f t="shared" si="172"/>
        <v>0</v>
      </c>
      <c r="O232">
        <f t="shared" si="172"/>
        <v>0</v>
      </c>
      <c r="P232">
        <f t="shared" si="172"/>
        <v>0</v>
      </c>
      <c r="Q232">
        <f t="shared" si="172"/>
        <v>0</v>
      </c>
      <c r="R232">
        <f t="shared" si="172"/>
        <v>0</v>
      </c>
      <c r="S232">
        <f t="shared" si="172"/>
        <v>0</v>
      </c>
    </row>
    <row r="233" spans="1:22" x14ac:dyDescent="0.3">
      <c r="A233" t="s">
        <v>433</v>
      </c>
      <c r="B233">
        <f>IF(B230&gt;=0.0077,1,0)</f>
        <v>0</v>
      </c>
      <c r="C233">
        <f t="shared" ref="C233:S233" si="173">IF(C230&gt;=0.0077,1,0)</f>
        <v>0</v>
      </c>
      <c r="D233">
        <f t="shared" si="173"/>
        <v>0</v>
      </c>
      <c r="E233">
        <f t="shared" si="173"/>
        <v>0</v>
      </c>
      <c r="F233">
        <f t="shared" si="173"/>
        <v>0</v>
      </c>
      <c r="G233">
        <f t="shared" si="173"/>
        <v>0</v>
      </c>
      <c r="H233">
        <f t="shared" si="173"/>
        <v>0</v>
      </c>
      <c r="I233">
        <f t="shared" si="173"/>
        <v>0</v>
      </c>
      <c r="J233">
        <f t="shared" si="173"/>
        <v>0</v>
      </c>
      <c r="K233">
        <f t="shared" si="173"/>
        <v>1</v>
      </c>
      <c r="L233">
        <f t="shared" si="173"/>
        <v>0</v>
      </c>
      <c r="M233">
        <f t="shared" si="173"/>
        <v>0</v>
      </c>
      <c r="N233">
        <f t="shared" si="173"/>
        <v>0</v>
      </c>
      <c r="O233">
        <f t="shared" si="173"/>
        <v>0</v>
      </c>
      <c r="P233">
        <f t="shared" si="173"/>
        <v>1</v>
      </c>
      <c r="Q233">
        <f t="shared" si="173"/>
        <v>1</v>
      </c>
      <c r="R233">
        <f t="shared" si="173"/>
        <v>1</v>
      </c>
      <c r="S233">
        <f t="shared" si="173"/>
        <v>1</v>
      </c>
    </row>
    <row r="234" spans="1:22" x14ac:dyDescent="0.3">
      <c r="A234" t="s">
        <v>258</v>
      </c>
      <c r="B234">
        <v>0</v>
      </c>
      <c r="C234">
        <v>2.8973333333333334E-2</v>
      </c>
      <c r="D234">
        <v>0</v>
      </c>
      <c r="E234">
        <v>0</v>
      </c>
      <c r="F234">
        <v>0</v>
      </c>
      <c r="G234">
        <v>2.2478908188585611E-2</v>
      </c>
      <c r="H234">
        <v>0</v>
      </c>
      <c r="I234">
        <v>0</v>
      </c>
      <c r="J234">
        <v>0</v>
      </c>
      <c r="K234">
        <v>2.9105220883534136E-2</v>
      </c>
      <c r="L234">
        <v>0</v>
      </c>
      <c r="M234">
        <v>0</v>
      </c>
      <c r="N234">
        <v>0</v>
      </c>
      <c r="O234">
        <v>4.2403584699453552E-2</v>
      </c>
      <c r="P234">
        <v>0</v>
      </c>
      <c r="Q234">
        <v>0</v>
      </c>
      <c r="R234">
        <v>0</v>
      </c>
      <c r="S234">
        <v>0</v>
      </c>
      <c r="T234" s="8">
        <v>0</v>
      </c>
      <c r="U234" s="8">
        <v>0</v>
      </c>
      <c r="V234" s="8">
        <v>0</v>
      </c>
    </row>
    <row r="235" spans="1:22" x14ac:dyDescent="0.3">
      <c r="A235" t="s">
        <v>430</v>
      </c>
      <c r="B235">
        <f>IF(B234&gt;0,1,0)</f>
        <v>0</v>
      </c>
      <c r="C235">
        <f>IF(C234&gt;0,1,0)</f>
        <v>1</v>
      </c>
      <c r="D235">
        <f t="shared" ref="D235:S235" si="174">IF(D234&gt;0,1,0)</f>
        <v>0</v>
      </c>
      <c r="E235">
        <f t="shared" si="174"/>
        <v>0</v>
      </c>
      <c r="F235">
        <f t="shared" si="174"/>
        <v>0</v>
      </c>
      <c r="G235">
        <f t="shared" si="174"/>
        <v>1</v>
      </c>
      <c r="H235">
        <f t="shared" si="174"/>
        <v>0</v>
      </c>
      <c r="I235">
        <f t="shared" si="174"/>
        <v>0</v>
      </c>
      <c r="J235">
        <f t="shared" si="174"/>
        <v>0</v>
      </c>
      <c r="K235">
        <f t="shared" si="174"/>
        <v>1</v>
      </c>
      <c r="L235">
        <f t="shared" si="174"/>
        <v>0</v>
      </c>
      <c r="M235">
        <f t="shared" si="174"/>
        <v>0</v>
      </c>
      <c r="N235">
        <f t="shared" si="174"/>
        <v>0</v>
      </c>
      <c r="O235">
        <f t="shared" si="174"/>
        <v>1</v>
      </c>
      <c r="P235">
        <f t="shared" si="174"/>
        <v>0</v>
      </c>
      <c r="Q235">
        <f t="shared" si="174"/>
        <v>0</v>
      </c>
      <c r="R235">
        <f t="shared" si="174"/>
        <v>0</v>
      </c>
      <c r="S235">
        <f t="shared" si="174"/>
        <v>0</v>
      </c>
    </row>
    <row r="236" spans="1:22" x14ac:dyDescent="0.3">
      <c r="A236" t="s">
        <v>259</v>
      </c>
      <c r="B236">
        <v>20.872274143302182</v>
      </c>
      <c r="C236">
        <v>29.385964912280706</v>
      </c>
      <c r="D236">
        <v>21.887417218543046</v>
      </c>
      <c r="E236">
        <v>28.770053475935825</v>
      </c>
      <c r="F236">
        <v>54.81481481481481</v>
      </c>
      <c r="G236">
        <v>60.149253731343279</v>
      </c>
      <c r="H236">
        <v>43.505154639175259</v>
      </c>
      <c r="I236">
        <v>42.660098522167488</v>
      </c>
      <c r="J236">
        <v>37.717391304347828</v>
      </c>
      <c r="K236">
        <v>37.164179104477604</v>
      </c>
      <c r="L236">
        <v>23.459459459459456</v>
      </c>
      <c r="M236">
        <v>54.198473282442748</v>
      </c>
      <c r="N236">
        <v>22.985074626865671</v>
      </c>
      <c r="O236">
        <v>27.477477477477475</v>
      </c>
      <c r="P236">
        <v>13.231939163498099</v>
      </c>
      <c r="Q236">
        <v>3400</v>
      </c>
      <c r="R236">
        <v>222.14285714285714</v>
      </c>
      <c r="S236">
        <v>19.296875</v>
      </c>
      <c r="T236" s="8">
        <v>23.103670835014118</v>
      </c>
      <c r="U236" s="8">
        <v>33.275072008379155</v>
      </c>
      <c r="V236" s="8">
        <v>51.525143621625872</v>
      </c>
    </row>
    <row r="237" spans="1:22" x14ac:dyDescent="0.3">
      <c r="A237" t="s">
        <v>427</v>
      </c>
      <c r="B237">
        <f>IF(AND(B236&gt;=23.1, B236&lt;33.28),1,0)</f>
        <v>0</v>
      </c>
      <c r="C237">
        <f t="shared" ref="C237:S237" si="175">IF(AND(C236&gt;=23.1, C236&lt;33.28),1,0)</f>
        <v>1</v>
      </c>
      <c r="D237">
        <f t="shared" si="175"/>
        <v>0</v>
      </c>
      <c r="E237">
        <f t="shared" si="175"/>
        <v>1</v>
      </c>
      <c r="F237">
        <f t="shared" si="175"/>
        <v>0</v>
      </c>
      <c r="G237">
        <f t="shared" si="175"/>
        <v>0</v>
      </c>
      <c r="H237">
        <f t="shared" si="175"/>
        <v>0</v>
      </c>
      <c r="I237">
        <f t="shared" si="175"/>
        <v>0</v>
      </c>
      <c r="J237">
        <f t="shared" si="175"/>
        <v>0</v>
      </c>
      <c r="K237">
        <f t="shared" si="175"/>
        <v>0</v>
      </c>
      <c r="L237">
        <f t="shared" si="175"/>
        <v>1</v>
      </c>
      <c r="M237">
        <f t="shared" si="175"/>
        <v>0</v>
      </c>
      <c r="N237">
        <f t="shared" si="175"/>
        <v>0</v>
      </c>
      <c r="O237">
        <f t="shared" si="175"/>
        <v>1</v>
      </c>
      <c r="P237">
        <f t="shared" si="175"/>
        <v>0</v>
      </c>
      <c r="Q237">
        <f t="shared" si="175"/>
        <v>0</v>
      </c>
      <c r="R237">
        <f t="shared" si="175"/>
        <v>0</v>
      </c>
      <c r="S237">
        <f t="shared" si="175"/>
        <v>0</v>
      </c>
    </row>
    <row r="238" spans="1:22" x14ac:dyDescent="0.3">
      <c r="A238" t="s">
        <v>428</v>
      </c>
      <c r="B238">
        <f>IF(AND(B236&gt;=33.28, B236&lt;51.53),1,0)</f>
        <v>0</v>
      </c>
      <c r="C238">
        <f t="shared" ref="C238:S238" si="176">IF(AND(C236&gt;=33.28, C236&lt;51.53),1,0)</f>
        <v>0</v>
      </c>
      <c r="D238">
        <f t="shared" si="176"/>
        <v>0</v>
      </c>
      <c r="E238">
        <f t="shared" si="176"/>
        <v>0</v>
      </c>
      <c r="F238">
        <f t="shared" si="176"/>
        <v>0</v>
      </c>
      <c r="G238">
        <f t="shared" si="176"/>
        <v>0</v>
      </c>
      <c r="H238">
        <f t="shared" si="176"/>
        <v>1</v>
      </c>
      <c r="I238">
        <f t="shared" si="176"/>
        <v>1</v>
      </c>
      <c r="J238">
        <f t="shared" si="176"/>
        <v>1</v>
      </c>
      <c r="K238">
        <f t="shared" si="176"/>
        <v>1</v>
      </c>
      <c r="L238">
        <f t="shared" si="176"/>
        <v>0</v>
      </c>
      <c r="M238">
        <f t="shared" si="176"/>
        <v>0</v>
      </c>
      <c r="N238">
        <f t="shared" si="176"/>
        <v>0</v>
      </c>
      <c r="O238">
        <f t="shared" si="176"/>
        <v>0</v>
      </c>
      <c r="P238">
        <f t="shared" si="176"/>
        <v>0</v>
      </c>
      <c r="Q238">
        <f t="shared" si="176"/>
        <v>0</v>
      </c>
      <c r="R238">
        <f t="shared" si="176"/>
        <v>0</v>
      </c>
      <c r="S238">
        <f t="shared" si="176"/>
        <v>0</v>
      </c>
    </row>
    <row r="239" spans="1:22" x14ac:dyDescent="0.3">
      <c r="A239" t="s">
        <v>429</v>
      </c>
      <c r="B239">
        <f>IF(B236&gt;=51.53,1,0)</f>
        <v>0</v>
      </c>
      <c r="C239">
        <f t="shared" ref="C239:S239" si="177">IF(C236&gt;=51.53,1,0)</f>
        <v>0</v>
      </c>
      <c r="D239">
        <f t="shared" si="177"/>
        <v>0</v>
      </c>
      <c r="E239">
        <f t="shared" si="177"/>
        <v>0</v>
      </c>
      <c r="F239">
        <f t="shared" si="177"/>
        <v>1</v>
      </c>
      <c r="G239">
        <f t="shared" si="177"/>
        <v>1</v>
      </c>
      <c r="H239">
        <f t="shared" si="177"/>
        <v>0</v>
      </c>
      <c r="I239">
        <f t="shared" si="177"/>
        <v>0</v>
      </c>
      <c r="J239">
        <f t="shared" si="177"/>
        <v>0</v>
      </c>
      <c r="K239">
        <f t="shared" si="177"/>
        <v>0</v>
      </c>
      <c r="L239">
        <f t="shared" si="177"/>
        <v>0</v>
      </c>
      <c r="M239">
        <f t="shared" si="177"/>
        <v>1</v>
      </c>
      <c r="N239">
        <f t="shared" si="177"/>
        <v>0</v>
      </c>
      <c r="O239">
        <f t="shared" si="177"/>
        <v>0</v>
      </c>
      <c r="P239">
        <f t="shared" si="177"/>
        <v>0</v>
      </c>
      <c r="Q239">
        <f t="shared" si="177"/>
        <v>1</v>
      </c>
      <c r="R239">
        <f t="shared" si="177"/>
        <v>1</v>
      </c>
      <c r="S239">
        <f t="shared" si="177"/>
        <v>0</v>
      </c>
    </row>
    <row r="240" spans="1:22" x14ac:dyDescent="0.3">
      <c r="A240" t="s">
        <v>260</v>
      </c>
      <c r="B240">
        <v>3.4073941470122748</v>
      </c>
      <c r="C240">
        <v>3.5076932613338281</v>
      </c>
      <c r="D240">
        <v>3.1810513928288864</v>
      </c>
      <c r="E240">
        <v>3.3199525942035519</v>
      </c>
      <c r="F240">
        <v>4.277407856927721</v>
      </c>
      <c r="G240">
        <v>5.0504476643287832</v>
      </c>
      <c r="H240">
        <v>4.9391809698741174</v>
      </c>
      <c r="I240">
        <v>6.1602530796997321</v>
      </c>
      <c r="J240">
        <v>4.6471679060602469</v>
      </c>
      <c r="K240">
        <v>3.2178325300382729</v>
      </c>
      <c r="L240">
        <v>2.8450121299779845</v>
      </c>
      <c r="M240">
        <v>5.1706167589350684</v>
      </c>
      <c r="N240">
        <v>2.6118032703847289</v>
      </c>
      <c r="O240">
        <v>2.4022088349617947</v>
      </c>
      <c r="P240">
        <v>2.7368749543854172</v>
      </c>
      <c r="Q240">
        <v>2.8594496400457512</v>
      </c>
      <c r="R240">
        <v>3.9514408994885573</v>
      </c>
      <c r="S240">
        <v>2.660453723328323</v>
      </c>
      <c r="T240" s="8">
        <v>2.8486215074949262</v>
      </c>
      <c r="U240" s="8">
        <v>3.3636733706079136</v>
      </c>
      <c r="V240" s="8">
        <v>4.5547278937771152</v>
      </c>
    </row>
    <row r="241" spans="1:22" x14ac:dyDescent="0.3">
      <c r="A241" t="s">
        <v>460</v>
      </c>
      <c r="B241">
        <f>IF(AND(B240&gt;=2.849, B240&lt;3.364),1,0)</f>
        <v>0</v>
      </c>
      <c r="C241">
        <f t="shared" ref="C241:S241" si="178">IF(AND(C240&gt;=2.849, C240&lt;3.364),1,0)</f>
        <v>0</v>
      </c>
      <c r="D241">
        <f t="shared" si="178"/>
        <v>1</v>
      </c>
      <c r="E241">
        <f t="shared" si="178"/>
        <v>1</v>
      </c>
      <c r="F241">
        <f t="shared" si="178"/>
        <v>0</v>
      </c>
      <c r="G241">
        <f t="shared" si="178"/>
        <v>0</v>
      </c>
      <c r="H241">
        <f t="shared" si="178"/>
        <v>0</v>
      </c>
      <c r="I241">
        <f t="shared" si="178"/>
        <v>0</v>
      </c>
      <c r="J241">
        <f t="shared" si="178"/>
        <v>0</v>
      </c>
      <c r="K241">
        <f t="shared" si="178"/>
        <v>1</v>
      </c>
      <c r="L241">
        <f t="shared" si="178"/>
        <v>0</v>
      </c>
      <c r="M241">
        <f t="shared" si="178"/>
        <v>0</v>
      </c>
      <c r="N241">
        <f t="shared" si="178"/>
        <v>0</v>
      </c>
      <c r="O241">
        <f t="shared" si="178"/>
        <v>0</v>
      </c>
      <c r="P241">
        <f t="shared" si="178"/>
        <v>0</v>
      </c>
      <c r="Q241">
        <f t="shared" si="178"/>
        <v>1</v>
      </c>
      <c r="R241">
        <f t="shared" si="178"/>
        <v>0</v>
      </c>
      <c r="S241">
        <f t="shared" si="178"/>
        <v>0</v>
      </c>
    </row>
    <row r="242" spans="1:22" x14ac:dyDescent="0.3">
      <c r="A242" t="s">
        <v>461</v>
      </c>
      <c r="B242">
        <f>IF(AND(B240&gt;=3.364, B240&lt;4.555),1,0)</f>
        <v>1</v>
      </c>
      <c r="C242">
        <f t="shared" ref="C242:S242" si="179">IF(AND(C240&gt;=3.364, C240&lt;4.555),1,0)</f>
        <v>1</v>
      </c>
      <c r="D242">
        <f t="shared" si="179"/>
        <v>0</v>
      </c>
      <c r="E242">
        <f t="shared" si="179"/>
        <v>0</v>
      </c>
      <c r="F242">
        <f t="shared" si="179"/>
        <v>1</v>
      </c>
      <c r="G242">
        <f t="shared" si="179"/>
        <v>0</v>
      </c>
      <c r="H242">
        <f t="shared" si="179"/>
        <v>0</v>
      </c>
      <c r="I242">
        <f t="shared" si="179"/>
        <v>0</v>
      </c>
      <c r="J242">
        <f t="shared" si="179"/>
        <v>0</v>
      </c>
      <c r="K242">
        <f t="shared" si="179"/>
        <v>0</v>
      </c>
      <c r="L242">
        <f t="shared" si="179"/>
        <v>0</v>
      </c>
      <c r="M242">
        <f t="shared" si="179"/>
        <v>0</v>
      </c>
      <c r="N242">
        <f t="shared" si="179"/>
        <v>0</v>
      </c>
      <c r="O242">
        <f t="shared" si="179"/>
        <v>0</v>
      </c>
      <c r="P242">
        <f t="shared" si="179"/>
        <v>0</v>
      </c>
      <c r="Q242">
        <f t="shared" si="179"/>
        <v>0</v>
      </c>
      <c r="R242">
        <f t="shared" si="179"/>
        <v>1</v>
      </c>
      <c r="S242">
        <f t="shared" si="179"/>
        <v>0</v>
      </c>
    </row>
    <row r="243" spans="1:22" x14ac:dyDescent="0.3">
      <c r="A243" t="s">
        <v>462</v>
      </c>
      <c r="B243">
        <f>IF(B240&gt;=4.555,1,0)</f>
        <v>0</v>
      </c>
      <c r="C243">
        <f t="shared" ref="C243:S243" si="180">IF(C240&gt;=4.555,1,0)</f>
        <v>0</v>
      </c>
      <c r="D243">
        <f t="shared" si="180"/>
        <v>0</v>
      </c>
      <c r="E243">
        <f t="shared" si="180"/>
        <v>0</v>
      </c>
      <c r="F243">
        <f t="shared" si="180"/>
        <v>0</v>
      </c>
      <c r="G243">
        <f t="shared" si="180"/>
        <v>1</v>
      </c>
      <c r="H243">
        <f t="shared" si="180"/>
        <v>1</v>
      </c>
      <c r="I243">
        <f t="shared" si="180"/>
        <v>1</v>
      </c>
      <c r="J243">
        <f t="shared" si="180"/>
        <v>1</v>
      </c>
      <c r="K243">
        <f t="shared" si="180"/>
        <v>0</v>
      </c>
      <c r="L243">
        <f t="shared" si="180"/>
        <v>0</v>
      </c>
      <c r="M243">
        <f t="shared" si="180"/>
        <v>1</v>
      </c>
      <c r="N243">
        <f t="shared" si="180"/>
        <v>0</v>
      </c>
      <c r="O243">
        <f t="shared" si="180"/>
        <v>0</v>
      </c>
      <c r="P243">
        <f t="shared" si="180"/>
        <v>0</v>
      </c>
      <c r="Q243">
        <f t="shared" si="180"/>
        <v>0</v>
      </c>
      <c r="R243">
        <f t="shared" si="180"/>
        <v>0</v>
      </c>
      <c r="S243">
        <f t="shared" si="180"/>
        <v>0</v>
      </c>
    </row>
    <row r="244" spans="1:22" x14ac:dyDescent="0.3">
      <c r="A244" t="s">
        <v>261</v>
      </c>
      <c r="B244">
        <v>8.153742179430519E-2</v>
      </c>
      <c r="C244">
        <v>0.15850448197965328</v>
      </c>
      <c r="D244">
        <v>2.2338953777993911E-2</v>
      </c>
      <c r="E244">
        <v>2.3902451433492379E-2</v>
      </c>
      <c r="F244">
        <v>6.0810802305912249E-3</v>
      </c>
      <c r="G244">
        <v>8.7308720795401376E-2</v>
      </c>
      <c r="H244">
        <v>-2.7358326058381351E-2</v>
      </c>
      <c r="I244">
        <v>0.18273872033852498</v>
      </c>
      <c r="J244">
        <v>0.21538938292333029</v>
      </c>
      <c r="K244">
        <v>0.1476274229576493</v>
      </c>
      <c r="L244">
        <v>0.18443725840374825</v>
      </c>
      <c r="M244">
        <v>0.20844031501186536</v>
      </c>
      <c r="N244">
        <v>0.10033967941510472</v>
      </c>
      <c r="O244">
        <v>0.2192052295341132</v>
      </c>
      <c r="P244">
        <v>0.23616492222868454</v>
      </c>
      <c r="Q244">
        <v>0.22694193960223438</v>
      </c>
      <c r="R244">
        <v>0.15898086422632673</v>
      </c>
      <c r="S244">
        <v>0.36739725449853144</v>
      </c>
      <c r="T244" s="8">
        <v>8.2980246544579236E-2</v>
      </c>
      <c r="U244" s="8">
        <v>0.15874267310299001</v>
      </c>
      <c r="V244" s="8">
        <v>0.21365211594546407</v>
      </c>
    </row>
    <row r="245" spans="1:22" x14ac:dyDescent="0.3">
      <c r="A245" t="s">
        <v>457</v>
      </c>
      <c r="B245">
        <f>IF(AND(B244&gt;=0.083, B244&lt;0.159),1,0)</f>
        <v>0</v>
      </c>
      <c r="C245">
        <f t="shared" ref="C245:S245" si="181">IF(AND(C244&gt;=0.083, C244&lt;0.159),1,0)</f>
        <v>1</v>
      </c>
      <c r="D245">
        <f t="shared" si="181"/>
        <v>0</v>
      </c>
      <c r="E245">
        <f t="shared" si="181"/>
        <v>0</v>
      </c>
      <c r="F245">
        <f t="shared" si="181"/>
        <v>0</v>
      </c>
      <c r="G245">
        <f t="shared" si="181"/>
        <v>1</v>
      </c>
      <c r="H245">
        <f t="shared" si="181"/>
        <v>0</v>
      </c>
      <c r="I245">
        <f t="shared" si="181"/>
        <v>0</v>
      </c>
      <c r="J245">
        <f t="shared" si="181"/>
        <v>0</v>
      </c>
      <c r="K245">
        <f t="shared" si="181"/>
        <v>1</v>
      </c>
      <c r="L245">
        <f t="shared" si="181"/>
        <v>0</v>
      </c>
      <c r="M245">
        <f t="shared" si="181"/>
        <v>0</v>
      </c>
      <c r="N245">
        <f t="shared" si="181"/>
        <v>1</v>
      </c>
      <c r="O245">
        <f t="shared" si="181"/>
        <v>0</v>
      </c>
      <c r="P245">
        <f t="shared" si="181"/>
        <v>0</v>
      </c>
      <c r="Q245">
        <f t="shared" si="181"/>
        <v>0</v>
      </c>
      <c r="R245">
        <f t="shared" si="181"/>
        <v>1</v>
      </c>
      <c r="S245">
        <f t="shared" si="181"/>
        <v>0</v>
      </c>
    </row>
    <row r="246" spans="1:22" x14ac:dyDescent="0.3">
      <c r="A246" t="s">
        <v>458</v>
      </c>
      <c r="B246">
        <f>IF(AND(B244&gt;=0.159, B244&lt;0.214),1,0)</f>
        <v>0</v>
      </c>
      <c r="C246">
        <f t="shared" ref="C246:S246" si="182">IF(AND(C244&gt;=0.159, C244&lt;0.214),1,0)</f>
        <v>0</v>
      </c>
      <c r="D246">
        <f t="shared" si="182"/>
        <v>0</v>
      </c>
      <c r="E246">
        <f t="shared" si="182"/>
        <v>0</v>
      </c>
      <c r="F246">
        <f t="shared" si="182"/>
        <v>0</v>
      </c>
      <c r="G246">
        <f t="shared" si="182"/>
        <v>0</v>
      </c>
      <c r="H246">
        <f t="shared" si="182"/>
        <v>0</v>
      </c>
      <c r="I246">
        <f t="shared" si="182"/>
        <v>1</v>
      </c>
      <c r="J246">
        <f t="shared" si="182"/>
        <v>0</v>
      </c>
      <c r="K246">
        <f t="shared" si="182"/>
        <v>0</v>
      </c>
      <c r="L246">
        <f t="shared" si="182"/>
        <v>1</v>
      </c>
      <c r="M246">
        <f t="shared" si="182"/>
        <v>1</v>
      </c>
      <c r="N246">
        <f t="shared" si="182"/>
        <v>0</v>
      </c>
      <c r="O246">
        <f t="shared" si="182"/>
        <v>0</v>
      </c>
      <c r="P246">
        <f t="shared" si="182"/>
        <v>0</v>
      </c>
      <c r="Q246">
        <f t="shared" si="182"/>
        <v>0</v>
      </c>
      <c r="R246">
        <f t="shared" si="182"/>
        <v>0</v>
      </c>
      <c r="S246">
        <f t="shared" si="182"/>
        <v>0</v>
      </c>
    </row>
    <row r="247" spans="1:22" x14ac:dyDescent="0.3">
      <c r="A247" t="s">
        <v>459</v>
      </c>
      <c r="B247">
        <f>IF(B244&gt;=0.214,1,0)</f>
        <v>0</v>
      </c>
      <c r="C247">
        <f t="shared" ref="C247:S247" si="183">IF(C244&gt;=0.214,1,0)</f>
        <v>0</v>
      </c>
      <c r="D247">
        <f t="shared" si="183"/>
        <v>0</v>
      </c>
      <c r="E247">
        <f t="shared" si="183"/>
        <v>0</v>
      </c>
      <c r="F247">
        <f t="shared" si="183"/>
        <v>0</v>
      </c>
      <c r="G247">
        <f t="shared" si="183"/>
        <v>0</v>
      </c>
      <c r="H247">
        <f t="shared" si="183"/>
        <v>0</v>
      </c>
      <c r="I247">
        <f t="shared" si="183"/>
        <v>0</v>
      </c>
      <c r="J247">
        <f t="shared" si="183"/>
        <v>1</v>
      </c>
      <c r="K247">
        <f t="shared" si="183"/>
        <v>0</v>
      </c>
      <c r="L247">
        <f t="shared" si="183"/>
        <v>0</v>
      </c>
      <c r="M247">
        <f t="shared" si="183"/>
        <v>0</v>
      </c>
      <c r="N247">
        <f t="shared" si="183"/>
        <v>0</v>
      </c>
      <c r="O247">
        <f t="shared" si="183"/>
        <v>1</v>
      </c>
      <c r="P247">
        <f t="shared" si="183"/>
        <v>1</v>
      </c>
      <c r="Q247">
        <f t="shared" si="183"/>
        <v>1</v>
      </c>
      <c r="R247">
        <f t="shared" si="183"/>
        <v>0</v>
      </c>
      <c r="S247">
        <f t="shared" si="183"/>
        <v>1</v>
      </c>
    </row>
    <row r="248" spans="1:22" x14ac:dyDescent="0.3">
      <c r="A248" t="s">
        <v>262</v>
      </c>
      <c r="B248">
        <v>0</v>
      </c>
      <c r="C248">
        <v>1.9412133333333332</v>
      </c>
      <c r="D248">
        <v>0</v>
      </c>
      <c r="E248">
        <v>0</v>
      </c>
      <c r="F248">
        <v>0</v>
      </c>
      <c r="G248">
        <v>1.8118000000000001</v>
      </c>
      <c r="H248">
        <v>0</v>
      </c>
      <c r="I248">
        <v>0</v>
      </c>
      <c r="J248">
        <v>0</v>
      </c>
      <c r="K248">
        <v>1.4494400000000001</v>
      </c>
      <c r="L248">
        <v>0</v>
      </c>
      <c r="M248">
        <v>0</v>
      </c>
      <c r="N248">
        <v>0</v>
      </c>
      <c r="O248">
        <v>1.2933093333333334</v>
      </c>
      <c r="P248">
        <v>0</v>
      </c>
      <c r="Q248">
        <v>0</v>
      </c>
      <c r="R248">
        <v>0</v>
      </c>
      <c r="S248">
        <v>0</v>
      </c>
      <c r="T248" s="8">
        <v>0</v>
      </c>
      <c r="U248" s="8">
        <v>0</v>
      </c>
      <c r="V248" s="8">
        <v>0</v>
      </c>
    </row>
    <row r="249" spans="1:22" x14ac:dyDescent="0.3">
      <c r="A249" t="s">
        <v>456</v>
      </c>
      <c r="B249">
        <f>IF(B248&gt;0,1,0)</f>
        <v>0</v>
      </c>
      <c r="C249">
        <f>IF(C248&gt;0,1,0)</f>
        <v>1</v>
      </c>
      <c r="D249">
        <f t="shared" ref="D249:S249" si="184">IF(D248&gt;0,1,0)</f>
        <v>0</v>
      </c>
      <c r="E249">
        <f t="shared" si="184"/>
        <v>0</v>
      </c>
      <c r="F249">
        <f t="shared" si="184"/>
        <v>0</v>
      </c>
      <c r="G249">
        <f t="shared" si="184"/>
        <v>1</v>
      </c>
      <c r="H249">
        <f t="shared" si="184"/>
        <v>0</v>
      </c>
      <c r="I249">
        <f t="shared" si="184"/>
        <v>0</v>
      </c>
      <c r="J249">
        <f t="shared" si="184"/>
        <v>0</v>
      </c>
      <c r="K249">
        <f t="shared" si="184"/>
        <v>1</v>
      </c>
      <c r="L249">
        <f t="shared" si="184"/>
        <v>0</v>
      </c>
      <c r="M249">
        <f t="shared" si="184"/>
        <v>0</v>
      </c>
      <c r="N249">
        <f t="shared" si="184"/>
        <v>0</v>
      </c>
      <c r="O249">
        <f t="shared" si="184"/>
        <v>1</v>
      </c>
      <c r="P249">
        <f t="shared" si="184"/>
        <v>0</v>
      </c>
      <c r="Q249">
        <f t="shared" si="184"/>
        <v>0</v>
      </c>
      <c r="R249">
        <f t="shared" si="184"/>
        <v>0</v>
      </c>
      <c r="S249">
        <f t="shared" si="184"/>
        <v>0</v>
      </c>
    </row>
    <row r="250" spans="1:22" x14ac:dyDescent="0.3">
      <c r="A250" t="s">
        <v>263</v>
      </c>
      <c r="B250">
        <v>0</v>
      </c>
      <c r="C250">
        <v>0.85140935672514628</v>
      </c>
      <c r="D250">
        <v>0</v>
      </c>
      <c r="E250">
        <v>0</v>
      </c>
      <c r="F250">
        <v>0</v>
      </c>
      <c r="G250">
        <v>1.3520895522388059</v>
      </c>
      <c r="H250">
        <v>0</v>
      </c>
      <c r="I250">
        <v>0</v>
      </c>
      <c r="J250">
        <v>0</v>
      </c>
      <c r="K250">
        <v>1.0816716417910448</v>
      </c>
      <c r="L250">
        <v>0</v>
      </c>
      <c r="M250">
        <v>0</v>
      </c>
      <c r="N250">
        <v>0</v>
      </c>
      <c r="O250">
        <v>1.1651435435435435</v>
      </c>
      <c r="P250">
        <v>0</v>
      </c>
      <c r="Q250">
        <v>0</v>
      </c>
      <c r="R250">
        <v>0</v>
      </c>
      <c r="S250">
        <v>0</v>
      </c>
      <c r="T250" s="8">
        <v>0</v>
      </c>
      <c r="U250" s="8">
        <v>0</v>
      </c>
      <c r="V250" s="8">
        <v>0</v>
      </c>
    </row>
    <row r="251" spans="1:22" x14ac:dyDescent="0.3">
      <c r="A251" t="s">
        <v>455</v>
      </c>
      <c r="B251">
        <f>IF(B250&gt;0,1,0)</f>
        <v>0</v>
      </c>
      <c r="C251">
        <f t="shared" ref="C251:S251" si="185">IF(C250&gt;0,1,0)</f>
        <v>1</v>
      </c>
      <c r="D251">
        <f t="shared" si="185"/>
        <v>0</v>
      </c>
      <c r="E251">
        <f t="shared" si="185"/>
        <v>0</v>
      </c>
      <c r="F251">
        <f t="shared" si="185"/>
        <v>0</v>
      </c>
      <c r="G251">
        <f t="shared" si="185"/>
        <v>1</v>
      </c>
      <c r="H251">
        <f t="shared" si="185"/>
        <v>0</v>
      </c>
      <c r="I251">
        <f t="shared" si="185"/>
        <v>0</v>
      </c>
      <c r="J251">
        <f t="shared" si="185"/>
        <v>0</v>
      </c>
      <c r="K251">
        <f t="shared" si="185"/>
        <v>1</v>
      </c>
      <c r="L251">
        <f t="shared" si="185"/>
        <v>0</v>
      </c>
      <c r="M251">
        <f t="shared" si="185"/>
        <v>0</v>
      </c>
      <c r="N251">
        <f t="shared" si="185"/>
        <v>0</v>
      </c>
      <c r="O251">
        <f t="shared" si="185"/>
        <v>1</v>
      </c>
      <c r="P251">
        <f t="shared" si="185"/>
        <v>0</v>
      </c>
      <c r="Q251">
        <f t="shared" si="185"/>
        <v>0</v>
      </c>
      <c r="R251">
        <f t="shared" si="185"/>
        <v>0</v>
      </c>
      <c r="S251">
        <f t="shared" si="185"/>
        <v>0</v>
      </c>
    </row>
    <row r="252" spans="1:22" x14ac:dyDescent="0.3">
      <c r="A252" t="s">
        <v>264</v>
      </c>
      <c r="B252">
        <v>38.447327999999999</v>
      </c>
      <c r="C252">
        <v>34.04448</v>
      </c>
      <c r="D252">
        <v>35.55558933333333</v>
      </c>
      <c r="E252">
        <v>33.439917333333334</v>
      </c>
      <c r="F252">
        <v>29.659642666666667</v>
      </c>
      <c r="G252">
        <v>27.389978666666668</v>
      </c>
      <c r="H252">
        <v>28.994464000000001</v>
      </c>
      <c r="I252">
        <v>27.627306666666666</v>
      </c>
      <c r="J252">
        <v>25.282088000000002</v>
      </c>
      <c r="K252">
        <v>25.480703999999999</v>
      </c>
      <c r="L252">
        <v>28.235813333333333</v>
      </c>
      <c r="M252">
        <v>26.818714666666665</v>
      </c>
      <c r="N252">
        <v>26.110109333333334</v>
      </c>
      <c r="O252">
        <v>24.654229333333333</v>
      </c>
      <c r="P252">
        <v>26.496658666666665</v>
      </c>
      <c r="Q252">
        <v>23.627717333333333</v>
      </c>
      <c r="R252">
        <v>23.723106666666666</v>
      </c>
      <c r="S252">
        <v>22.896509333333334</v>
      </c>
      <c r="T252" s="8">
        <v>25.331742000000002</v>
      </c>
      <c r="U252" s="8">
        <v>27.104346666666665</v>
      </c>
      <c r="V252" s="8">
        <v>29.493348000000001</v>
      </c>
    </row>
    <row r="253" spans="1:22" x14ac:dyDescent="0.3">
      <c r="A253" t="s">
        <v>476</v>
      </c>
      <c r="B253">
        <f>IF(AND(B252&gt;=25.33, B252&lt;27.104),1,0)</f>
        <v>0</v>
      </c>
      <c r="C253">
        <f t="shared" ref="C253:S253" si="186">IF(AND(C252&gt;=25.33, C252&lt;27.104),1,0)</f>
        <v>0</v>
      </c>
      <c r="D253">
        <f t="shared" si="186"/>
        <v>0</v>
      </c>
      <c r="E253">
        <f t="shared" si="186"/>
        <v>0</v>
      </c>
      <c r="F253">
        <f t="shared" si="186"/>
        <v>0</v>
      </c>
      <c r="G253">
        <f t="shared" si="186"/>
        <v>0</v>
      </c>
      <c r="H253">
        <f t="shared" si="186"/>
        <v>0</v>
      </c>
      <c r="I253">
        <f t="shared" si="186"/>
        <v>0</v>
      </c>
      <c r="J253">
        <f t="shared" si="186"/>
        <v>0</v>
      </c>
      <c r="K253">
        <f t="shared" si="186"/>
        <v>1</v>
      </c>
      <c r="L253">
        <f t="shared" si="186"/>
        <v>0</v>
      </c>
      <c r="M253">
        <f t="shared" si="186"/>
        <v>1</v>
      </c>
      <c r="N253">
        <f t="shared" si="186"/>
        <v>1</v>
      </c>
      <c r="O253">
        <f t="shared" si="186"/>
        <v>0</v>
      </c>
      <c r="P253">
        <f t="shared" si="186"/>
        <v>1</v>
      </c>
      <c r="Q253">
        <f t="shared" si="186"/>
        <v>0</v>
      </c>
      <c r="R253">
        <f t="shared" si="186"/>
        <v>0</v>
      </c>
      <c r="S253">
        <f t="shared" si="186"/>
        <v>0</v>
      </c>
    </row>
    <row r="254" spans="1:22" x14ac:dyDescent="0.3">
      <c r="A254" t="s">
        <v>477</v>
      </c>
      <c r="B254">
        <f>IF(AND(B252&gt;=27.104, B252&lt;29.493),1,0)</f>
        <v>0</v>
      </c>
      <c r="C254">
        <f t="shared" ref="C254:S254" si="187">IF(AND(C252&gt;=27.104, C252&lt;29.493),1,0)</f>
        <v>0</v>
      </c>
      <c r="D254">
        <f t="shared" si="187"/>
        <v>0</v>
      </c>
      <c r="E254">
        <f t="shared" si="187"/>
        <v>0</v>
      </c>
      <c r="F254">
        <f t="shared" si="187"/>
        <v>0</v>
      </c>
      <c r="G254">
        <f t="shared" si="187"/>
        <v>1</v>
      </c>
      <c r="H254">
        <f t="shared" si="187"/>
        <v>1</v>
      </c>
      <c r="I254">
        <f t="shared" si="187"/>
        <v>1</v>
      </c>
      <c r="J254">
        <f t="shared" si="187"/>
        <v>0</v>
      </c>
      <c r="K254">
        <f t="shared" si="187"/>
        <v>0</v>
      </c>
      <c r="L254">
        <f t="shared" si="187"/>
        <v>1</v>
      </c>
      <c r="M254">
        <f t="shared" si="187"/>
        <v>0</v>
      </c>
      <c r="N254">
        <f t="shared" si="187"/>
        <v>0</v>
      </c>
      <c r="O254">
        <f t="shared" si="187"/>
        <v>0</v>
      </c>
      <c r="P254">
        <f t="shared" si="187"/>
        <v>0</v>
      </c>
      <c r="Q254">
        <f t="shared" si="187"/>
        <v>0</v>
      </c>
      <c r="R254">
        <f t="shared" si="187"/>
        <v>0</v>
      </c>
      <c r="S254">
        <f t="shared" si="187"/>
        <v>0</v>
      </c>
    </row>
    <row r="255" spans="1:22" x14ac:dyDescent="0.3">
      <c r="A255" t="s">
        <v>478</v>
      </c>
      <c r="B255">
        <f>IF(B252&gt;=29.493,1,0)</f>
        <v>1</v>
      </c>
      <c r="C255">
        <f t="shared" ref="C255:S255" si="188">IF(C252&gt;=29.493,1,0)</f>
        <v>1</v>
      </c>
      <c r="D255">
        <f t="shared" si="188"/>
        <v>1</v>
      </c>
      <c r="E255">
        <f t="shared" si="188"/>
        <v>1</v>
      </c>
      <c r="F255">
        <f t="shared" si="188"/>
        <v>1</v>
      </c>
      <c r="G255">
        <f t="shared" si="188"/>
        <v>0</v>
      </c>
      <c r="H255">
        <f t="shared" si="188"/>
        <v>0</v>
      </c>
      <c r="I255">
        <f t="shared" si="188"/>
        <v>0</v>
      </c>
      <c r="J255">
        <f t="shared" si="188"/>
        <v>0</v>
      </c>
      <c r="K255">
        <f t="shared" si="188"/>
        <v>0</v>
      </c>
      <c r="L255">
        <f t="shared" si="188"/>
        <v>0</v>
      </c>
      <c r="M255">
        <f t="shared" si="188"/>
        <v>0</v>
      </c>
      <c r="N255">
        <f t="shared" si="188"/>
        <v>0</v>
      </c>
      <c r="O255">
        <f t="shared" si="188"/>
        <v>0</v>
      </c>
      <c r="P255">
        <f t="shared" si="188"/>
        <v>0</v>
      </c>
      <c r="Q255">
        <f t="shared" si="188"/>
        <v>0</v>
      </c>
      <c r="R255">
        <f t="shared" si="188"/>
        <v>0</v>
      </c>
      <c r="S255">
        <f t="shared" si="188"/>
        <v>0</v>
      </c>
    </row>
    <row r="256" spans="1:22" x14ac:dyDescent="0.3">
      <c r="A256" t="s">
        <v>265</v>
      </c>
      <c r="B256">
        <v>1.7426438581115442</v>
      </c>
      <c r="C256">
        <v>1.9680136104296497</v>
      </c>
      <c r="D256">
        <v>1.8590607338923029</v>
      </c>
      <c r="E256">
        <v>1.6088556518760133</v>
      </c>
      <c r="F256">
        <v>2.494972742310404</v>
      </c>
      <c r="G256">
        <v>2.9426821021255263</v>
      </c>
      <c r="H256">
        <v>2.9109005084556832</v>
      </c>
      <c r="I256">
        <v>3.1345798939020715</v>
      </c>
      <c r="J256">
        <v>2.7450264392719461</v>
      </c>
      <c r="K256">
        <v>1.9544200976550725</v>
      </c>
      <c r="L256">
        <v>1.5370550685984607</v>
      </c>
      <c r="M256">
        <v>2.6474050260226245</v>
      </c>
      <c r="N256">
        <v>1.1796197253252916</v>
      </c>
      <c r="O256">
        <v>1.2371102575395854</v>
      </c>
      <c r="P256">
        <v>1.3133731478293564</v>
      </c>
      <c r="Q256">
        <v>1.4389879276248889</v>
      </c>
      <c r="R256">
        <v>1.3109581488203064</v>
      </c>
      <c r="S256">
        <v>1.0787670574763593</v>
      </c>
      <c r="T256" s="8">
        <v>1.3447768427782396</v>
      </c>
      <c r="U256" s="8">
        <v>1.8008522960019235</v>
      </c>
      <c r="V256" s="8">
        <v>2.6092969550945693</v>
      </c>
    </row>
    <row r="257" spans="1:22" x14ac:dyDescent="0.3">
      <c r="A257" t="s">
        <v>473</v>
      </c>
      <c r="B257">
        <f>IF(AND(B256&gt;=1.345, B256&lt;1.801),1,0)</f>
        <v>1</v>
      </c>
      <c r="C257">
        <f t="shared" ref="C257:S257" si="189">IF(AND(C256&gt;=1.345, C256&lt;1.801),1,0)</f>
        <v>0</v>
      </c>
      <c r="D257">
        <f t="shared" si="189"/>
        <v>0</v>
      </c>
      <c r="E257">
        <f t="shared" si="189"/>
        <v>1</v>
      </c>
      <c r="F257">
        <f t="shared" si="189"/>
        <v>0</v>
      </c>
      <c r="G257">
        <f t="shared" si="189"/>
        <v>0</v>
      </c>
      <c r="H257">
        <f t="shared" si="189"/>
        <v>0</v>
      </c>
      <c r="I257">
        <f t="shared" si="189"/>
        <v>0</v>
      </c>
      <c r="J257">
        <f t="shared" si="189"/>
        <v>0</v>
      </c>
      <c r="K257">
        <f t="shared" si="189"/>
        <v>0</v>
      </c>
      <c r="L257">
        <f t="shared" si="189"/>
        <v>1</v>
      </c>
      <c r="M257">
        <f t="shared" si="189"/>
        <v>0</v>
      </c>
      <c r="N257">
        <f t="shared" si="189"/>
        <v>0</v>
      </c>
      <c r="O257">
        <f t="shared" si="189"/>
        <v>0</v>
      </c>
      <c r="P257">
        <f t="shared" si="189"/>
        <v>0</v>
      </c>
      <c r="Q257">
        <f t="shared" si="189"/>
        <v>1</v>
      </c>
      <c r="R257">
        <f t="shared" si="189"/>
        <v>0</v>
      </c>
      <c r="S257">
        <f t="shared" si="189"/>
        <v>0</v>
      </c>
    </row>
    <row r="258" spans="1:22" x14ac:dyDescent="0.3">
      <c r="A258" t="s">
        <v>474</v>
      </c>
      <c r="B258">
        <f>IF(AND(B256&gt;=1.801, B256&lt;2.609),1,0)</f>
        <v>0</v>
      </c>
      <c r="C258">
        <f t="shared" ref="C258:S258" si="190">IF(AND(C256&gt;=1.801, C256&lt;2.609),1,0)</f>
        <v>1</v>
      </c>
      <c r="D258">
        <f t="shared" si="190"/>
        <v>1</v>
      </c>
      <c r="E258">
        <f t="shared" si="190"/>
        <v>0</v>
      </c>
      <c r="F258">
        <f t="shared" si="190"/>
        <v>1</v>
      </c>
      <c r="G258">
        <f t="shared" si="190"/>
        <v>0</v>
      </c>
      <c r="H258">
        <f t="shared" si="190"/>
        <v>0</v>
      </c>
      <c r="I258">
        <f t="shared" si="190"/>
        <v>0</v>
      </c>
      <c r="J258">
        <f t="shared" si="190"/>
        <v>0</v>
      </c>
      <c r="K258">
        <f t="shared" si="190"/>
        <v>1</v>
      </c>
      <c r="L258">
        <f t="shared" si="190"/>
        <v>0</v>
      </c>
      <c r="M258">
        <f t="shared" si="190"/>
        <v>0</v>
      </c>
      <c r="N258">
        <f t="shared" si="190"/>
        <v>0</v>
      </c>
      <c r="O258">
        <f t="shared" si="190"/>
        <v>0</v>
      </c>
      <c r="P258">
        <f t="shared" si="190"/>
        <v>0</v>
      </c>
      <c r="Q258">
        <f t="shared" si="190"/>
        <v>0</v>
      </c>
      <c r="R258">
        <f t="shared" si="190"/>
        <v>0</v>
      </c>
      <c r="S258">
        <f t="shared" si="190"/>
        <v>0</v>
      </c>
    </row>
    <row r="259" spans="1:22" x14ac:dyDescent="0.3">
      <c r="A259" t="s">
        <v>475</v>
      </c>
      <c r="B259">
        <f>IF(B256&gt;=2.609,1,0)</f>
        <v>0</v>
      </c>
      <c r="C259">
        <f t="shared" ref="C259:S259" si="191">IF(C256&gt;=2.609,1,0)</f>
        <v>0</v>
      </c>
      <c r="D259">
        <f t="shared" si="191"/>
        <v>0</v>
      </c>
      <c r="E259">
        <f t="shared" si="191"/>
        <v>0</v>
      </c>
      <c r="F259">
        <f t="shared" si="191"/>
        <v>0</v>
      </c>
      <c r="G259">
        <f t="shared" si="191"/>
        <v>1</v>
      </c>
      <c r="H259">
        <f t="shared" si="191"/>
        <v>1</v>
      </c>
      <c r="I259">
        <f t="shared" si="191"/>
        <v>1</v>
      </c>
      <c r="J259">
        <f t="shared" si="191"/>
        <v>1</v>
      </c>
      <c r="K259">
        <f t="shared" si="191"/>
        <v>0</v>
      </c>
      <c r="L259">
        <f t="shared" si="191"/>
        <v>0</v>
      </c>
      <c r="M259">
        <f t="shared" si="191"/>
        <v>1</v>
      </c>
      <c r="N259">
        <f t="shared" si="191"/>
        <v>0</v>
      </c>
      <c r="O259">
        <f t="shared" si="191"/>
        <v>0</v>
      </c>
      <c r="P259">
        <f t="shared" si="191"/>
        <v>0</v>
      </c>
      <c r="Q259">
        <f t="shared" si="191"/>
        <v>0</v>
      </c>
      <c r="R259">
        <f t="shared" si="191"/>
        <v>0</v>
      </c>
      <c r="S259">
        <f t="shared" si="191"/>
        <v>0</v>
      </c>
    </row>
    <row r="260" spans="1:22" x14ac:dyDescent="0.3">
      <c r="A260" t="s">
        <v>266</v>
      </c>
      <c r="B260">
        <v>1</v>
      </c>
      <c r="C260">
        <v>0.14720722388248539</v>
      </c>
      <c r="D260">
        <v>1</v>
      </c>
      <c r="E260">
        <v>1</v>
      </c>
      <c r="F260">
        <v>1</v>
      </c>
      <c r="G260">
        <v>-0.35441834318111143</v>
      </c>
      <c r="H260">
        <v>1</v>
      </c>
      <c r="I260">
        <v>1</v>
      </c>
      <c r="J260">
        <v>1</v>
      </c>
      <c r="K260">
        <v>-8.3253947058987657E-2</v>
      </c>
      <c r="L260">
        <v>1</v>
      </c>
      <c r="M260">
        <v>1</v>
      </c>
      <c r="N260">
        <v>1</v>
      </c>
      <c r="O260">
        <v>-0.16527791793408009</v>
      </c>
      <c r="P260">
        <v>1</v>
      </c>
      <c r="Q260">
        <v>1</v>
      </c>
      <c r="R260">
        <v>1</v>
      </c>
      <c r="S260">
        <v>1</v>
      </c>
      <c r="T260" s="8">
        <v>1</v>
      </c>
      <c r="U260" s="8">
        <v>1</v>
      </c>
      <c r="V260" s="8">
        <v>1</v>
      </c>
    </row>
    <row r="261" spans="1:22" x14ac:dyDescent="0.3">
      <c r="A261" t="s">
        <v>472</v>
      </c>
      <c r="B261">
        <f>IF(B260&gt;=1,1,0)</f>
        <v>1</v>
      </c>
      <c r="C261">
        <f>IF(C260&gt;=1,1,0)</f>
        <v>0</v>
      </c>
      <c r="D261">
        <f t="shared" ref="D261:S261" si="192">IF(D260&gt;=1,1,0)</f>
        <v>1</v>
      </c>
      <c r="E261">
        <f t="shared" si="192"/>
        <v>1</v>
      </c>
      <c r="F261">
        <f t="shared" si="192"/>
        <v>1</v>
      </c>
      <c r="G261">
        <f t="shared" si="192"/>
        <v>0</v>
      </c>
      <c r="H261">
        <f t="shared" si="192"/>
        <v>1</v>
      </c>
      <c r="I261">
        <f t="shared" si="192"/>
        <v>1</v>
      </c>
      <c r="J261">
        <f t="shared" si="192"/>
        <v>1</v>
      </c>
      <c r="K261">
        <f t="shared" si="192"/>
        <v>0</v>
      </c>
      <c r="L261">
        <f t="shared" si="192"/>
        <v>1</v>
      </c>
      <c r="M261">
        <f t="shared" si="192"/>
        <v>1</v>
      </c>
      <c r="N261">
        <f t="shared" si="192"/>
        <v>1</v>
      </c>
      <c r="O261">
        <f t="shared" si="192"/>
        <v>0</v>
      </c>
      <c r="P261">
        <f t="shared" si="192"/>
        <v>1</v>
      </c>
      <c r="Q261">
        <f t="shared" si="192"/>
        <v>1</v>
      </c>
      <c r="R261">
        <f t="shared" si="192"/>
        <v>1</v>
      </c>
      <c r="S261">
        <f t="shared" si="192"/>
        <v>1</v>
      </c>
    </row>
    <row r="262" spans="1:22" x14ac:dyDescent="0.3">
      <c r="A262" t="s">
        <v>267</v>
      </c>
      <c r="B262">
        <v>20.979861837693942</v>
      </c>
      <c r="C262">
        <v>13.573839254408593</v>
      </c>
      <c r="D262">
        <v>69.558250738026004</v>
      </c>
      <c r="E262">
        <v>61.118028227895266</v>
      </c>
      <c r="F262">
        <v>204.17022278466112</v>
      </c>
      <c r="G262">
        <v>35.030725046186078</v>
      </c>
      <c r="H262">
        <v>-121.27691370371649</v>
      </c>
      <c r="I262">
        <v>16.966978263459161</v>
      </c>
      <c r="J262">
        <v>12.633660732446495</v>
      </c>
      <c r="K262">
        <v>13.612845569465239</v>
      </c>
      <c r="L262">
        <v>8.2824975432407442</v>
      </c>
      <c r="M262">
        <v>12.567991061503147</v>
      </c>
      <c r="N262">
        <v>11.666042120977362</v>
      </c>
      <c r="O262">
        <v>5.9872951559837615</v>
      </c>
      <c r="P262">
        <v>5.4763984014791722</v>
      </c>
      <c r="Q262">
        <v>6.2893981465266986</v>
      </c>
      <c r="R262">
        <v>8.1737825006412876</v>
      </c>
      <c r="S262">
        <v>2.874983161367179</v>
      </c>
      <c r="T262" s="8">
        <v>6.7604942350553454</v>
      </c>
      <c r="U262" s="8">
        <v>12.600825896974822</v>
      </c>
      <c r="V262" s="8">
        <v>19.976640944135248</v>
      </c>
    </row>
    <row r="263" spans="1:22" x14ac:dyDescent="0.3">
      <c r="A263" t="s">
        <v>469</v>
      </c>
      <c r="B263">
        <f>IF(AND(B262&gt;=6.76, B262&lt;12.6),1,0)</f>
        <v>0</v>
      </c>
      <c r="C263">
        <f t="shared" ref="C263:S263" si="193">IF(AND(C262&gt;=6.76, C262&lt;12.6),1,0)</f>
        <v>0</v>
      </c>
      <c r="D263">
        <f t="shared" si="193"/>
        <v>0</v>
      </c>
      <c r="E263">
        <f t="shared" si="193"/>
        <v>0</v>
      </c>
      <c r="F263">
        <f t="shared" si="193"/>
        <v>0</v>
      </c>
      <c r="G263">
        <f t="shared" si="193"/>
        <v>0</v>
      </c>
      <c r="H263">
        <f t="shared" si="193"/>
        <v>0</v>
      </c>
      <c r="I263">
        <f t="shared" si="193"/>
        <v>0</v>
      </c>
      <c r="J263">
        <f t="shared" si="193"/>
        <v>0</v>
      </c>
      <c r="K263">
        <f t="shared" si="193"/>
        <v>0</v>
      </c>
      <c r="L263">
        <f t="shared" si="193"/>
        <v>1</v>
      </c>
      <c r="M263">
        <f t="shared" si="193"/>
        <v>1</v>
      </c>
      <c r="N263">
        <f t="shared" si="193"/>
        <v>1</v>
      </c>
      <c r="O263">
        <f t="shared" si="193"/>
        <v>0</v>
      </c>
      <c r="P263">
        <f t="shared" si="193"/>
        <v>0</v>
      </c>
      <c r="Q263">
        <f t="shared" si="193"/>
        <v>0</v>
      </c>
      <c r="R263">
        <f t="shared" si="193"/>
        <v>1</v>
      </c>
      <c r="S263">
        <f t="shared" si="193"/>
        <v>0</v>
      </c>
    </row>
    <row r="264" spans="1:22" x14ac:dyDescent="0.3">
      <c r="A264" t="s">
        <v>470</v>
      </c>
      <c r="B264">
        <f>IF(AND(B262&gt;=12.6, B262&lt;19.977),1,0)</f>
        <v>0</v>
      </c>
      <c r="C264">
        <f t="shared" ref="C264:S264" si="194">IF(AND(C262&gt;=12.6, C262&lt;19.977),1,0)</f>
        <v>1</v>
      </c>
      <c r="D264">
        <f t="shared" si="194"/>
        <v>0</v>
      </c>
      <c r="E264">
        <f t="shared" si="194"/>
        <v>0</v>
      </c>
      <c r="F264">
        <f t="shared" si="194"/>
        <v>0</v>
      </c>
      <c r="G264">
        <f t="shared" si="194"/>
        <v>0</v>
      </c>
      <c r="H264">
        <f t="shared" si="194"/>
        <v>0</v>
      </c>
      <c r="I264">
        <f t="shared" si="194"/>
        <v>1</v>
      </c>
      <c r="J264">
        <f t="shared" si="194"/>
        <v>1</v>
      </c>
      <c r="K264">
        <f t="shared" si="194"/>
        <v>1</v>
      </c>
      <c r="L264">
        <f t="shared" si="194"/>
        <v>0</v>
      </c>
      <c r="M264">
        <f t="shared" si="194"/>
        <v>0</v>
      </c>
      <c r="N264">
        <f t="shared" si="194"/>
        <v>0</v>
      </c>
      <c r="O264">
        <f t="shared" si="194"/>
        <v>0</v>
      </c>
      <c r="P264">
        <f t="shared" si="194"/>
        <v>0</v>
      </c>
      <c r="Q264">
        <f t="shared" si="194"/>
        <v>0</v>
      </c>
      <c r="R264">
        <f t="shared" si="194"/>
        <v>0</v>
      </c>
      <c r="S264">
        <f t="shared" si="194"/>
        <v>0</v>
      </c>
    </row>
    <row r="265" spans="1:22" x14ac:dyDescent="0.3">
      <c r="A265" t="s">
        <v>471</v>
      </c>
      <c r="B265">
        <f>IF(B262&gt;=19.977,1,0)</f>
        <v>1</v>
      </c>
      <c r="C265">
        <f t="shared" ref="C265:S265" si="195">IF(C262&gt;=19.977,1,0)</f>
        <v>0</v>
      </c>
      <c r="D265">
        <f t="shared" si="195"/>
        <v>1</v>
      </c>
      <c r="E265">
        <f t="shared" si="195"/>
        <v>1</v>
      </c>
      <c r="F265">
        <f t="shared" si="195"/>
        <v>1</v>
      </c>
      <c r="G265">
        <f t="shared" si="195"/>
        <v>1</v>
      </c>
      <c r="H265">
        <f t="shared" si="195"/>
        <v>0</v>
      </c>
      <c r="I265">
        <f t="shared" si="195"/>
        <v>0</v>
      </c>
      <c r="J265">
        <f t="shared" si="195"/>
        <v>0</v>
      </c>
      <c r="K265">
        <f t="shared" si="195"/>
        <v>0</v>
      </c>
      <c r="L265">
        <f t="shared" si="195"/>
        <v>0</v>
      </c>
      <c r="M265">
        <f t="shared" si="195"/>
        <v>0</v>
      </c>
      <c r="N265">
        <f t="shared" si="195"/>
        <v>0</v>
      </c>
      <c r="O265">
        <f t="shared" si="195"/>
        <v>0</v>
      </c>
      <c r="P265">
        <f t="shared" si="195"/>
        <v>0</v>
      </c>
      <c r="Q265">
        <f t="shared" si="195"/>
        <v>0</v>
      </c>
      <c r="R265">
        <f t="shared" si="195"/>
        <v>0</v>
      </c>
      <c r="S265">
        <f t="shared" si="195"/>
        <v>0</v>
      </c>
    </row>
    <row r="266" spans="1:22" x14ac:dyDescent="0.3">
      <c r="A266" t="s">
        <v>268</v>
      </c>
      <c r="B266">
        <v>9.999545520393352E-2</v>
      </c>
      <c r="C266">
        <v>4.9197538868230736E-2</v>
      </c>
      <c r="D266">
        <v>0.18856079849935045</v>
      </c>
      <c r="E266">
        <v>0.13440178915661724</v>
      </c>
      <c r="F266">
        <v>9.9970798747452655E-2</v>
      </c>
      <c r="G266">
        <v>5.1737967035495686E-2</v>
      </c>
      <c r="H266">
        <v>0.22933355426792115</v>
      </c>
      <c r="I266">
        <v>0.17442689300032338</v>
      </c>
      <c r="J266">
        <v>0.11532585127058234</v>
      </c>
      <c r="K266">
        <v>5.5753899192813219E-2</v>
      </c>
      <c r="L266">
        <v>0.22327659471141004</v>
      </c>
      <c r="M266">
        <v>0.17080069661815417</v>
      </c>
      <c r="N266">
        <v>0.11099730046929304</v>
      </c>
      <c r="O266">
        <v>5.2812185488976655E-2</v>
      </c>
      <c r="P266">
        <v>0.2224720393144185</v>
      </c>
      <c r="Q266">
        <v>0.15879352006619901</v>
      </c>
      <c r="R266">
        <v>0.10696753331466842</v>
      </c>
      <c r="S266">
        <v>4.8386094979432699E-2</v>
      </c>
      <c r="T266" s="8">
        <v>6.6808124081473075E-2</v>
      </c>
      <c r="U266" s="8">
        <v>0.11316157586993769</v>
      </c>
      <c r="V266" s="8">
        <v>0.17352034390478108</v>
      </c>
    </row>
    <row r="267" spans="1:22" x14ac:dyDescent="0.3">
      <c r="A267" t="s">
        <v>466</v>
      </c>
      <c r="B267">
        <f>IF(AND(B266&gt;=0.067, B266&lt;0.1132),1,0)</f>
        <v>1</v>
      </c>
      <c r="C267">
        <f t="shared" ref="C267:S267" si="196">IF(AND(C266&gt;=0.067, C266&lt;0.1132),1,0)</f>
        <v>0</v>
      </c>
      <c r="D267">
        <f t="shared" si="196"/>
        <v>0</v>
      </c>
      <c r="E267">
        <f t="shared" si="196"/>
        <v>0</v>
      </c>
      <c r="F267">
        <f t="shared" si="196"/>
        <v>1</v>
      </c>
      <c r="G267">
        <f t="shared" si="196"/>
        <v>0</v>
      </c>
      <c r="H267">
        <f t="shared" si="196"/>
        <v>0</v>
      </c>
      <c r="I267">
        <f t="shared" si="196"/>
        <v>0</v>
      </c>
      <c r="J267">
        <f t="shared" si="196"/>
        <v>0</v>
      </c>
      <c r="K267">
        <f t="shared" si="196"/>
        <v>0</v>
      </c>
      <c r="L267">
        <f t="shared" si="196"/>
        <v>0</v>
      </c>
      <c r="M267">
        <f t="shared" si="196"/>
        <v>0</v>
      </c>
      <c r="N267">
        <f t="shared" si="196"/>
        <v>1</v>
      </c>
      <c r="O267">
        <f t="shared" si="196"/>
        <v>0</v>
      </c>
      <c r="P267">
        <f t="shared" si="196"/>
        <v>0</v>
      </c>
      <c r="Q267">
        <f t="shared" si="196"/>
        <v>0</v>
      </c>
      <c r="R267">
        <f t="shared" si="196"/>
        <v>1</v>
      </c>
      <c r="S267">
        <f t="shared" si="196"/>
        <v>0</v>
      </c>
    </row>
    <row r="268" spans="1:22" x14ac:dyDescent="0.3">
      <c r="A268" t="s">
        <v>467</v>
      </c>
      <c r="B268">
        <f>IF(AND(B266&gt;=0.1132, B266&lt;0.1735),1,0)</f>
        <v>0</v>
      </c>
      <c r="C268">
        <f t="shared" ref="C268:S268" si="197">IF(AND(C266&gt;=0.1132, C266&lt;0.1735),1,0)</f>
        <v>0</v>
      </c>
      <c r="D268">
        <f t="shared" si="197"/>
        <v>0</v>
      </c>
      <c r="E268">
        <f t="shared" si="197"/>
        <v>1</v>
      </c>
      <c r="F268">
        <f t="shared" si="197"/>
        <v>0</v>
      </c>
      <c r="G268">
        <f t="shared" si="197"/>
        <v>0</v>
      </c>
      <c r="H268">
        <f t="shared" si="197"/>
        <v>0</v>
      </c>
      <c r="I268">
        <f t="shared" si="197"/>
        <v>0</v>
      </c>
      <c r="J268">
        <f t="shared" si="197"/>
        <v>1</v>
      </c>
      <c r="K268">
        <f t="shared" si="197"/>
        <v>0</v>
      </c>
      <c r="L268">
        <f t="shared" si="197"/>
        <v>0</v>
      </c>
      <c r="M268">
        <f t="shared" si="197"/>
        <v>1</v>
      </c>
      <c r="N268">
        <f t="shared" si="197"/>
        <v>0</v>
      </c>
      <c r="O268">
        <f t="shared" si="197"/>
        <v>0</v>
      </c>
      <c r="P268">
        <f t="shared" si="197"/>
        <v>0</v>
      </c>
      <c r="Q268">
        <f t="shared" si="197"/>
        <v>1</v>
      </c>
      <c r="R268">
        <f t="shared" si="197"/>
        <v>0</v>
      </c>
      <c r="S268">
        <f t="shared" si="197"/>
        <v>0</v>
      </c>
    </row>
    <row r="269" spans="1:22" x14ac:dyDescent="0.3">
      <c r="A269" t="s">
        <v>468</v>
      </c>
      <c r="B269">
        <f>IF(B266&gt;=0.1735,1,0)</f>
        <v>0</v>
      </c>
      <c r="C269">
        <f t="shared" ref="C269:S269" si="198">IF(C266&gt;=0.1735,1,0)</f>
        <v>0</v>
      </c>
      <c r="D269">
        <f t="shared" si="198"/>
        <v>1</v>
      </c>
      <c r="E269">
        <f t="shared" si="198"/>
        <v>0</v>
      </c>
      <c r="F269">
        <f t="shared" si="198"/>
        <v>0</v>
      </c>
      <c r="G269">
        <f t="shared" si="198"/>
        <v>0</v>
      </c>
      <c r="H269">
        <f t="shared" si="198"/>
        <v>1</v>
      </c>
      <c r="I269">
        <f t="shared" si="198"/>
        <v>1</v>
      </c>
      <c r="J269">
        <f t="shared" si="198"/>
        <v>0</v>
      </c>
      <c r="K269">
        <f t="shared" si="198"/>
        <v>0</v>
      </c>
      <c r="L269">
        <f t="shared" si="198"/>
        <v>1</v>
      </c>
      <c r="M269">
        <f t="shared" si="198"/>
        <v>0</v>
      </c>
      <c r="N269">
        <f t="shared" si="198"/>
        <v>0</v>
      </c>
      <c r="O269">
        <f t="shared" si="198"/>
        <v>0</v>
      </c>
      <c r="P269">
        <f t="shared" si="198"/>
        <v>1</v>
      </c>
      <c r="Q269">
        <f t="shared" si="198"/>
        <v>0</v>
      </c>
      <c r="R269">
        <f t="shared" si="198"/>
        <v>0</v>
      </c>
      <c r="S269">
        <f t="shared" si="198"/>
        <v>0</v>
      </c>
    </row>
    <row r="270" spans="1:22" x14ac:dyDescent="0.3">
      <c r="A270" t="s">
        <v>269</v>
      </c>
      <c r="B270">
        <v>0.15943024301331629</v>
      </c>
      <c r="C270">
        <v>0.2825108019501239</v>
      </c>
      <c r="D270">
        <v>3.8224334866697421E-2</v>
      </c>
      <c r="E270">
        <v>4.9323881575028296E-2</v>
      </c>
      <c r="F270">
        <v>1.0425468749951832E-2</v>
      </c>
      <c r="G270">
        <v>0.14984565430909708</v>
      </c>
      <c r="H270">
        <v>-4.6421278584632047E-2</v>
      </c>
      <c r="I270">
        <v>0.35912843278798734</v>
      </c>
      <c r="J270">
        <v>0.36464152523532706</v>
      </c>
      <c r="K270">
        <v>0.24305947553895896</v>
      </c>
      <c r="L270">
        <v>0.34138414953278867</v>
      </c>
      <c r="M270">
        <v>0.40710241744054371</v>
      </c>
      <c r="N270">
        <v>0.22216269974076439</v>
      </c>
      <c r="O270">
        <v>0.42565061266564214</v>
      </c>
      <c r="P270">
        <v>0.49213269040889962</v>
      </c>
      <c r="Q270">
        <v>0.45096212070241537</v>
      </c>
      <c r="R270">
        <v>0.47919416016845928</v>
      </c>
      <c r="S270">
        <v>0.90607456623474203</v>
      </c>
      <c r="T270" s="8">
        <v>0.15224180148515187</v>
      </c>
      <c r="U270" s="8">
        <v>0.31194747574145631</v>
      </c>
      <c r="V270" s="8">
        <v>0.4210135638593675</v>
      </c>
    </row>
    <row r="271" spans="1:22" x14ac:dyDescent="0.3">
      <c r="A271" t="s">
        <v>463</v>
      </c>
      <c r="B271">
        <f>IF(AND(B270&gt;=0.1522, B270&lt;0.312),1,0)</f>
        <v>1</v>
      </c>
      <c r="C271">
        <f t="shared" ref="C271:S271" si="199">IF(AND(C270&gt;=0.1522, C270&lt;0.312),1,0)</f>
        <v>1</v>
      </c>
      <c r="D271">
        <f t="shared" si="199"/>
        <v>0</v>
      </c>
      <c r="E271">
        <f t="shared" si="199"/>
        <v>0</v>
      </c>
      <c r="F271">
        <f t="shared" si="199"/>
        <v>0</v>
      </c>
      <c r="G271">
        <f t="shared" si="199"/>
        <v>0</v>
      </c>
      <c r="H271">
        <f t="shared" si="199"/>
        <v>0</v>
      </c>
      <c r="I271">
        <f t="shared" si="199"/>
        <v>0</v>
      </c>
      <c r="J271">
        <f t="shared" si="199"/>
        <v>0</v>
      </c>
      <c r="K271">
        <f t="shared" si="199"/>
        <v>1</v>
      </c>
      <c r="L271">
        <f t="shared" si="199"/>
        <v>0</v>
      </c>
      <c r="M271">
        <f t="shared" si="199"/>
        <v>0</v>
      </c>
      <c r="N271">
        <f t="shared" si="199"/>
        <v>1</v>
      </c>
      <c r="O271">
        <f t="shared" si="199"/>
        <v>0</v>
      </c>
      <c r="P271">
        <f t="shared" si="199"/>
        <v>0</v>
      </c>
      <c r="Q271">
        <f t="shared" si="199"/>
        <v>0</v>
      </c>
      <c r="R271">
        <f t="shared" si="199"/>
        <v>0</v>
      </c>
      <c r="S271">
        <f t="shared" si="199"/>
        <v>0</v>
      </c>
    </row>
    <row r="272" spans="1:22" x14ac:dyDescent="0.3">
      <c r="A272" t="s">
        <v>464</v>
      </c>
      <c r="B272">
        <f>IF(AND(B270&gt;=0.312, B270&lt;0.421),1,0)</f>
        <v>0</v>
      </c>
      <c r="C272">
        <f t="shared" ref="C272:S272" si="200">IF(AND(C270&gt;=0.312, C270&lt;0.421),1,0)</f>
        <v>0</v>
      </c>
      <c r="D272">
        <f t="shared" si="200"/>
        <v>0</v>
      </c>
      <c r="E272">
        <f t="shared" si="200"/>
        <v>0</v>
      </c>
      <c r="F272">
        <f t="shared" si="200"/>
        <v>0</v>
      </c>
      <c r="G272">
        <f t="shared" si="200"/>
        <v>0</v>
      </c>
      <c r="H272">
        <f t="shared" si="200"/>
        <v>0</v>
      </c>
      <c r="I272">
        <f t="shared" si="200"/>
        <v>1</v>
      </c>
      <c r="J272">
        <f t="shared" si="200"/>
        <v>1</v>
      </c>
      <c r="K272">
        <f t="shared" si="200"/>
        <v>0</v>
      </c>
      <c r="L272">
        <f t="shared" si="200"/>
        <v>1</v>
      </c>
      <c r="M272">
        <f t="shared" si="200"/>
        <v>1</v>
      </c>
      <c r="N272">
        <f t="shared" si="200"/>
        <v>0</v>
      </c>
      <c r="O272">
        <f t="shared" si="200"/>
        <v>0</v>
      </c>
      <c r="P272">
        <f t="shared" si="200"/>
        <v>0</v>
      </c>
      <c r="Q272">
        <f t="shared" si="200"/>
        <v>0</v>
      </c>
      <c r="R272">
        <f t="shared" si="200"/>
        <v>0</v>
      </c>
      <c r="S272">
        <f t="shared" si="200"/>
        <v>0</v>
      </c>
    </row>
    <row r="273" spans="1:22" x14ac:dyDescent="0.3">
      <c r="A273" t="s">
        <v>465</v>
      </c>
      <c r="B273">
        <f>IF(B270&gt;=0.421,1,0)</f>
        <v>0</v>
      </c>
      <c r="C273">
        <f t="shared" ref="C273:S273" si="201">IF(C270&gt;=0.421,1,0)</f>
        <v>0</v>
      </c>
      <c r="D273">
        <f t="shared" si="201"/>
        <v>0</v>
      </c>
      <c r="E273">
        <f t="shared" si="201"/>
        <v>0</v>
      </c>
      <c r="F273">
        <f t="shared" si="201"/>
        <v>0</v>
      </c>
      <c r="G273">
        <f t="shared" si="201"/>
        <v>0</v>
      </c>
      <c r="H273">
        <f t="shared" si="201"/>
        <v>0</v>
      </c>
      <c r="I273">
        <f t="shared" si="201"/>
        <v>0</v>
      </c>
      <c r="J273">
        <f t="shared" si="201"/>
        <v>0</v>
      </c>
      <c r="K273">
        <f t="shared" si="201"/>
        <v>0</v>
      </c>
      <c r="L273">
        <f t="shared" si="201"/>
        <v>0</v>
      </c>
      <c r="M273">
        <f t="shared" si="201"/>
        <v>0</v>
      </c>
      <c r="N273">
        <f t="shared" si="201"/>
        <v>0</v>
      </c>
      <c r="O273">
        <f t="shared" si="201"/>
        <v>1</v>
      </c>
      <c r="P273">
        <f t="shared" si="201"/>
        <v>1</v>
      </c>
      <c r="Q273">
        <f t="shared" si="201"/>
        <v>1</v>
      </c>
      <c r="R273">
        <f t="shared" si="201"/>
        <v>1</v>
      </c>
      <c r="S273">
        <f t="shared" si="201"/>
        <v>1</v>
      </c>
    </row>
    <row r="274" spans="1:22" s="10" customFormat="1" x14ac:dyDescent="0.3">
      <c r="A274" s="10" t="s">
        <v>149</v>
      </c>
      <c r="B274" s="10">
        <v>0</v>
      </c>
      <c r="C274" s="10">
        <v>1.3615733736762569E-2</v>
      </c>
      <c r="D274" s="10">
        <v>0.22862453531598509</v>
      </c>
      <c r="E274" s="10">
        <v>-0.27297297297297302</v>
      </c>
      <c r="F274" s="10">
        <v>-8.1885856079404407E-2</v>
      </c>
      <c r="G274" s="10">
        <v>-4.5023696682464587E-2</v>
      </c>
      <c r="H274" s="10">
        <v>-2.5404157043879778E-2</v>
      </c>
      <c r="I274" s="10">
        <v>0.24783861671469723</v>
      </c>
      <c r="J274" s="10">
        <v>0.3935742971887552</v>
      </c>
      <c r="K274" s="10">
        <v>0.14746543778801841</v>
      </c>
      <c r="L274" s="10">
        <v>-0.38873239436619722</v>
      </c>
      <c r="M274" s="10">
        <v>1.3051948051948052</v>
      </c>
      <c r="N274" s="10">
        <v>9.8360655737705152E-3</v>
      </c>
      <c r="O274" s="10">
        <v>-0.12356321839080453</v>
      </c>
      <c r="P274" s="10">
        <v>2.3529411764705799E-2</v>
      </c>
      <c r="Q274" s="10">
        <v>9.3247588424437255E-2</v>
      </c>
      <c r="R274" s="10">
        <v>0.2591093117408908</v>
      </c>
      <c r="T274" s="11"/>
      <c r="U274" s="11"/>
      <c r="V274" s="11"/>
    </row>
    <row r="275" spans="1:22" x14ac:dyDescent="0.3">
      <c r="A275" t="s">
        <v>499</v>
      </c>
      <c r="C275">
        <f>IF(B274&gt;0.08,1,0)</f>
        <v>0</v>
      </c>
      <c r="D275">
        <f t="shared" ref="D275:S275" si="202">IF(C274&gt;0.08,1,0)</f>
        <v>0</v>
      </c>
      <c r="E275">
        <f t="shared" si="202"/>
        <v>1</v>
      </c>
      <c r="F275">
        <f t="shared" si="202"/>
        <v>0</v>
      </c>
      <c r="G275">
        <f t="shared" si="202"/>
        <v>0</v>
      </c>
      <c r="H275">
        <f t="shared" si="202"/>
        <v>0</v>
      </c>
      <c r="I275">
        <f t="shared" si="202"/>
        <v>0</v>
      </c>
      <c r="J275">
        <f t="shared" si="202"/>
        <v>1</v>
      </c>
      <c r="K275">
        <f t="shared" si="202"/>
        <v>1</v>
      </c>
      <c r="L275">
        <f t="shared" si="202"/>
        <v>1</v>
      </c>
      <c r="M275">
        <f t="shared" si="202"/>
        <v>0</v>
      </c>
      <c r="N275">
        <f t="shared" si="202"/>
        <v>1</v>
      </c>
      <c r="O275">
        <f t="shared" si="202"/>
        <v>0</v>
      </c>
      <c r="P275">
        <f t="shared" si="202"/>
        <v>0</v>
      </c>
      <c r="Q275">
        <f t="shared" si="202"/>
        <v>0</v>
      </c>
      <c r="R275">
        <f t="shared" si="202"/>
        <v>1</v>
      </c>
      <c r="S275">
        <f t="shared" si="202"/>
        <v>1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781DB-164B-4316-8A57-71A515628381}">
  <dimension ref="A1:Q204"/>
  <sheetViews>
    <sheetView workbookViewId="0">
      <selection activeCell="B200" sqref="B200"/>
    </sheetView>
  </sheetViews>
  <sheetFormatPr defaultRowHeight="14.4" x14ac:dyDescent="0.3"/>
  <cols>
    <col min="1" max="1" width="11.109375" customWidth="1"/>
    <col min="4" max="4" width="8.88671875" style="13"/>
    <col min="9" max="11" width="8.88671875" style="13"/>
    <col min="13" max="13" width="8.88671875" style="13"/>
    <col min="17" max="17" width="8.88671875" style="13"/>
  </cols>
  <sheetData>
    <row r="1" spans="1:17" x14ac:dyDescent="0.3">
      <c r="A1" t="s">
        <v>270</v>
      </c>
      <c r="B1" s="2">
        <v>45352</v>
      </c>
      <c r="C1" s="2">
        <v>45261</v>
      </c>
      <c r="D1" s="12">
        <v>45170</v>
      </c>
      <c r="E1" s="2">
        <v>45078</v>
      </c>
      <c r="F1" s="2">
        <v>44986</v>
      </c>
      <c r="G1" s="2">
        <v>44896</v>
      </c>
      <c r="H1" s="2">
        <v>44805</v>
      </c>
      <c r="I1" s="12">
        <v>44713</v>
      </c>
      <c r="J1" s="12">
        <v>44621</v>
      </c>
      <c r="K1" s="12">
        <v>44531</v>
      </c>
      <c r="L1" s="2">
        <v>44440</v>
      </c>
      <c r="M1" s="12">
        <v>44348</v>
      </c>
      <c r="N1" s="2">
        <v>44256</v>
      </c>
      <c r="O1" s="2">
        <v>44166</v>
      </c>
      <c r="P1" s="2">
        <v>44075</v>
      </c>
      <c r="Q1" s="12">
        <v>43983</v>
      </c>
    </row>
    <row r="2" spans="1:17" x14ac:dyDescent="0.3">
      <c r="A2" t="s">
        <v>277</v>
      </c>
      <c r="B2">
        <v>0</v>
      </c>
      <c r="C2">
        <v>1</v>
      </c>
      <c r="D2" s="13">
        <v>1</v>
      </c>
      <c r="E2">
        <v>1</v>
      </c>
      <c r="F2">
        <v>0</v>
      </c>
      <c r="G2">
        <v>0</v>
      </c>
      <c r="H2">
        <v>0</v>
      </c>
      <c r="I2" s="13">
        <v>0</v>
      </c>
      <c r="J2" s="13">
        <v>0</v>
      </c>
      <c r="K2" s="13">
        <v>0</v>
      </c>
      <c r="L2">
        <v>0</v>
      </c>
      <c r="M2" s="13">
        <v>1</v>
      </c>
      <c r="N2">
        <v>0</v>
      </c>
      <c r="O2">
        <v>0</v>
      </c>
      <c r="P2">
        <v>0</v>
      </c>
      <c r="Q2" s="13">
        <v>0</v>
      </c>
    </row>
    <row r="3" spans="1:17" x14ac:dyDescent="0.3">
      <c r="A3" t="s">
        <v>278</v>
      </c>
      <c r="B3">
        <v>1</v>
      </c>
      <c r="C3">
        <v>0</v>
      </c>
      <c r="D3" s="13">
        <v>0</v>
      </c>
      <c r="E3">
        <v>0</v>
      </c>
      <c r="F3">
        <v>0</v>
      </c>
      <c r="G3">
        <v>0</v>
      </c>
      <c r="H3">
        <v>0</v>
      </c>
      <c r="I3" s="13">
        <v>0</v>
      </c>
      <c r="J3" s="13">
        <v>0</v>
      </c>
      <c r="K3" s="13">
        <v>0</v>
      </c>
      <c r="L3">
        <v>1</v>
      </c>
      <c r="M3" s="13">
        <v>0</v>
      </c>
      <c r="N3">
        <v>1</v>
      </c>
      <c r="O3">
        <v>0</v>
      </c>
      <c r="P3">
        <v>0</v>
      </c>
      <c r="Q3" s="13">
        <v>0</v>
      </c>
    </row>
    <row r="4" spans="1:17" x14ac:dyDescent="0.3">
      <c r="A4" t="s">
        <v>279</v>
      </c>
      <c r="B4">
        <v>0</v>
      </c>
      <c r="C4">
        <v>0</v>
      </c>
      <c r="D4" s="13">
        <v>0</v>
      </c>
      <c r="E4">
        <v>0</v>
      </c>
      <c r="F4">
        <v>0</v>
      </c>
      <c r="G4">
        <v>0</v>
      </c>
      <c r="H4">
        <v>0</v>
      </c>
      <c r="I4" s="13">
        <v>0</v>
      </c>
      <c r="J4" s="13">
        <v>0</v>
      </c>
      <c r="K4" s="13">
        <v>1</v>
      </c>
      <c r="L4">
        <v>0</v>
      </c>
      <c r="M4" s="13">
        <v>0</v>
      </c>
      <c r="N4">
        <v>0</v>
      </c>
      <c r="O4">
        <v>1</v>
      </c>
      <c r="P4">
        <v>1</v>
      </c>
      <c r="Q4" s="13">
        <v>1</v>
      </c>
    </row>
    <row r="5" spans="1:17" x14ac:dyDescent="0.3">
      <c r="A5" t="s">
        <v>280</v>
      </c>
      <c r="B5">
        <v>1</v>
      </c>
      <c r="C5">
        <v>1</v>
      </c>
      <c r="D5" s="13">
        <v>0</v>
      </c>
      <c r="E5">
        <v>1</v>
      </c>
      <c r="F5">
        <v>1</v>
      </c>
      <c r="G5">
        <v>0</v>
      </c>
      <c r="H5">
        <v>0</v>
      </c>
      <c r="I5" s="13">
        <v>0</v>
      </c>
      <c r="J5" s="13">
        <v>0</v>
      </c>
      <c r="K5" s="13">
        <v>0</v>
      </c>
      <c r="L5">
        <v>0</v>
      </c>
      <c r="M5" s="13">
        <v>0</v>
      </c>
      <c r="N5">
        <v>0</v>
      </c>
      <c r="O5">
        <v>0</v>
      </c>
      <c r="P5">
        <v>0</v>
      </c>
      <c r="Q5" s="13">
        <v>0</v>
      </c>
    </row>
    <row r="6" spans="1:17" x14ac:dyDescent="0.3">
      <c r="A6" t="s">
        <v>281</v>
      </c>
      <c r="B6">
        <v>0</v>
      </c>
      <c r="C6">
        <v>0</v>
      </c>
      <c r="D6" s="13">
        <v>0</v>
      </c>
      <c r="E6">
        <v>0</v>
      </c>
      <c r="F6">
        <v>0</v>
      </c>
      <c r="G6">
        <v>1</v>
      </c>
      <c r="H6">
        <v>1</v>
      </c>
      <c r="I6" s="13">
        <v>0</v>
      </c>
      <c r="J6" s="13">
        <v>0</v>
      </c>
      <c r="K6" s="13">
        <v>0</v>
      </c>
      <c r="L6">
        <v>1</v>
      </c>
      <c r="M6" s="13">
        <v>1</v>
      </c>
      <c r="N6">
        <v>0</v>
      </c>
      <c r="O6">
        <v>0</v>
      </c>
      <c r="P6">
        <v>0</v>
      </c>
      <c r="Q6" s="13">
        <v>0</v>
      </c>
    </row>
    <row r="7" spans="1:17" x14ac:dyDescent="0.3">
      <c r="A7" t="s">
        <v>282</v>
      </c>
      <c r="B7">
        <v>0</v>
      </c>
      <c r="C7">
        <v>0</v>
      </c>
      <c r="D7" s="13">
        <v>1</v>
      </c>
      <c r="E7">
        <v>0</v>
      </c>
      <c r="F7">
        <v>0</v>
      </c>
      <c r="G7">
        <v>0</v>
      </c>
      <c r="H7">
        <v>0</v>
      </c>
      <c r="I7" s="13">
        <v>0</v>
      </c>
      <c r="J7" s="13">
        <v>0</v>
      </c>
      <c r="K7" s="13">
        <v>1</v>
      </c>
      <c r="L7">
        <v>0</v>
      </c>
      <c r="M7" s="13">
        <v>0</v>
      </c>
      <c r="N7">
        <v>0</v>
      </c>
      <c r="O7">
        <v>1</v>
      </c>
      <c r="P7">
        <v>0</v>
      </c>
      <c r="Q7" s="13">
        <v>0</v>
      </c>
    </row>
    <row r="8" spans="1:17" x14ac:dyDescent="0.3">
      <c r="A8" t="s">
        <v>283</v>
      </c>
      <c r="B8">
        <v>0</v>
      </c>
      <c r="C8">
        <v>0</v>
      </c>
      <c r="D8" s="13">
        <v>0</v>
      </c>
      <c r="E8">
        <v>0</v>
      </c>
      <c r="F8">
        <v>0</v>
      </c>
      <c r="G8">
        <v>0</v>
      </c>
      <c r="H8">
        <v>0</v>
      </c>
      <c r="I8" s="13">
        <v>0</v>
      </c>
      <c r="J8" s="13">
        <v>0</v>
      </c>
      <c r="K8" s="13">
        <v>0</v>
      </c>
      <c r="L8">
        <v>1</v>
      </c>
      <c r="M8" s="13">
        <v>1</v>
      </c>
      <c r="N8">
        <v>1</v>
      </c>
      <c r="O8">
        <v>0</v>
      </c>
      <c r="P8">
        <v>0</v>
      </c>
      <c r="Q8" s="13">
        <v>0</v>
      </c>
    </row>
    <row r="9" spans="1:17" x14ac:dyDescent="0.3">
      <c r="A9" t="s">
        <v>284</v>
      </c>
      <c r="B9">
        <v>1</v>
      </c>
      <c r="C9">
        <v>1</v>
      </c>
      <c r="D9" s="13">
        <v>1</v>
      </c>
      <c r="E9">
        <v>1</v>
      </c>
      <c r="F9">
        <v>0</v>
      </c>
      <c r="G9">
        <v>0</v>
      </c>
      <c r="H9">
        <v>0</v>
      </c>
      <c r="I9" s="13">
        <v>0</v>
      </c>
      <c r="J9" s="13">
        <v>0</v>
      </c>
      <c r="K9" s="13">
        <v>0</v>
      </c>
      <c r="L9">
        <v>0</v>
      </c>
      <c r="M9" s="13">
        <v>0</v>
      </c>
      <c r="N9">
        <v>0</v>
      </c>
      <c r="O9">
        <v>0</v>
      </c>
      <c r="P9">
        <v>0</v>
      </c>
      <c r="Q9" s="13">
        <v>0</v>
      </c>
    </row>
    <row r="10" spans="1:17" x14ac:dyDescent="0.3">
      <c r="A10" t="s">
        <v>285</v>
      </c>
      <c r="B10">
        <v>0</v>
      </c>
      <c r="C10">
        <v>0</v>
      </c>
      <c r="D10" s="13">
        <v>0</v>
      </c>
      <c r="E10">
        <v>0</v>
      </c>
      <c r="F10">
        <v>1</v>
      </c>
      <c r="G10">
        <v>1</v>
      </c>
      <c r="H10">
        <v>1</v>
      </c>
      <c r="I10" s="13">
        <v>1</v>
      </c>
      <c r="J10" s="13">
        <v>1</v>
      </c>
      <c r="K10" s="13">
        <v>0</v>
      </c>
      <c r="L10">
        <v>0</v>
      </c>
      <c r="M10" s="13">
        <v>0</v>
      </c>
      <c r="N10">
        <v>0</v>
      </c>
      <c r="O10">
        <v>0</v>
      </c>
      <c r="P10">
        <v>0</v>
      </c>
      <c r="Q10" s="13">
        <v>0</v>
      </c>
    </row>
    <row r="11" spans="1:17" x14ac:dyDescent="0.3">
      <c r="A11" t="s">
        <v>286</v>
      </c>
      <c r="B11">
        <v>0</v>
      </c>
      <c r="C11">
        <v>0</v>
      </c>
      <c r="D11" s="13">
        <v>1</v>
      </c>
      <c r="E11">
        <v>0</v>
      </c>
      <c r="F11">
        <v>0</v>
      </c>
      <c r="G11">
        <v>0</v>
      </c>
      <c r="H11">
        <v>0</v>
      </c>
      <c r="I11" s="13">
        <v>0</v>
      </c>
      <c r="J11" s="13">
        <v>0</v>
      </c>
      <c r="K11" s="13">
        <v>1</v>
      </c>
      <c r="L11">
        <v>0</v>
      </c>
      <c r="M11" s="13">
        <v>0</v>
      </c>
      <c r="N11">
        <v>0</v>
      </c>
      <c r="O11">
        <v>0</v>
      </c>
      <c r="P11">
        <v>1</v>
      </c>
      <c r="Q11" s="13">
        <v>0</v>
      </c>
    </row>
    <row r="12" spans="1:17" x14ac:dyDescent="0.3">
      <c r="A12" t="s">
        <v>287</v>
      </c>
      <c r="B12">
        <v>0</v>
      </c>
      <c r="C12">
        <v>1</v>
      </c>
      <c r="D12" s="13">
        <v>0</v>
      </c>
      <c r="E12">
        <v>0</v>
      </c>
      <c r="F12">
        <v>0</v>
      </c>
      <c r="G12">
        <v>0</v>
      </c>
      <c r="H12">
        <v>0</v>
      </c>
      <c r="I12" s="13">
        <v>0</v>
      </c>
      <c r="J12" s="13">
        <v>0</v>
      </c>
      <c r="K12" s="13">
        <v>0</v>
      </c>
      <c r="L12">
        <v>1</v>
      </c>
      <c r="M12" s="13">
        <v>1</v>
      </c>
      <c r="N12">
        <v>0</v>
      </c>
      <c r="O12">
        <v>0</v>
      </c>
      <c r="P12">
        <v>0</v>
      </c>
      <c r="Q12" s="13">
        <v>1</v>
      </c>
    </row>
    <row r="13" spans="1:17" x14ac:dyDescent="0.3">
      <c r="A13" t="s">
        <v>288</v>
      </c>
      <c r="B13">
        <v>1</v>
      </c>
      <c r="C13">
        <v>0</v>
      </c>
      <c r="D13" s="13">
        <v>0</v>
      </c>
      <c r="E13">
        <v>1</v>
      </c>
      <c r="F13">
        <v>1</v>
      </c>
      <c r="G13">
        <v>1</v>
      </c>
      <c r="H13">
        <v>1</v>
      </c>
      <c r="I13" s="13">
        <v>0</v>
      </c>
      <c r="J13" s="13">
        <v>0</v>
      </c>
      <c r="K13" s="13">
        <v>0</v>
      </c>
      <c r="L13">
        <v>0</v>
      </c>
      <c r="M13" s="13">
        <v>0</v>
      </c>
      <c r="N13">
        <v>0</v>
      </c>
      <c r="O13">
        <v>0</v>
      </c>
      <c r="P13">
        <v>0</v>
      </c>
      <c r="Q13" s="13">
        <v>0</v>
      </c>
    </row>
    <row r="14" spans="1:17" x14ac:dyDescent="0.3">
      <c r="A14" t="s">
        <v>289</v>
      </c>
      <c r="B14">
        <v>0</v>
      </c>
      <c r="C14">
        <v>0</v>
      </c>
      <c r="D14" s="13">
        <v>0</v>
      </c>
      <c r="E14">
        <v>0</v>
      </c>
      <c r="F14">
        <v>0</v>
      </c>
      <c r="G14">
        <v>0</v>
      </c>
      <c r="H14">
        <v>1</v>
      </c>
      <c r="I14" s="13">
        <v>0</v>
      </c>
      <c r="J14" s="13">
        <v>1</v>
      </c>
      <c r="K14" s="13">
        <v>0</v>
      </c>
      <c r="L14">
        <v>0</v>
      </c>
      <c r="M14" s="13">
        <v>1</v>
      </c>
      <c r="N14">
        <v>0</v>
      </c>
      <c r="O14">
        <v>0</v>
      </c>
      <c r="P14">
        <v>0</v>
      </c>
      <c r="Q14" s="13">
        <v>0</v>
      </c>
    </row>
    <row r="15" spans="1:17" x14ac:dyDescent="0.3">
      <c r="A15" t="s">
        <v>290</v>
      </c>
      <c r="B15">
        <v>1</v>
      </c>
      <c r="C15">
        <v>0</v>
      </c>
      <c r="D15" s="13">
        <v>0</v>
      </c>
      <c r="E15">
        <v>0</v>
      </c>
      <c r="F15">
        <v>0</v>
      </c>
      <c r="G15">
        <v>0</v>
      </c>
      <c r="H15">
        <v>0</v>
      </c>
      <c r="I15" s="13">
        <v>1</v>
      </c>
      <c r="J15" s="13">
        <v>0</v>
      </c>
      <c r="K15" s="13">
        <v>1</v>
      </c>
      <c r="L15">
        <v>0</v>
      </c>
      <c r="M15" s="13">
        <v>0</v>
      </c>
      <c r="N15">
        <v>1</v>
      </c>
      <c r="O15">
        <v>0</v>
      </c>
      <c r="P15">
        <v>0</v>
      </c>
      <c r="Q15" s="13">
        <v>0</v>
      </c>
    </row>
    <row r="16" spans="1:17" x14ac:dyDescent="0.3">
      <c r="A16" t="s">
        <v>291</v>
      </c>
      <c r="B16">
        <v>0</v>
      </c>
      <c r="C16">
        <v>0</v>
      </c>
      <c r="D16" s="13">
        <v>0</v>
      </c>
      <c r="E16">
        <v>0</v>
      </c>
      <c r="F16">
        <v>0</v>
      </c>
      <c r="G16">
        <v>0</v>
      </c>
      <c r="H16">
        <v>0</v>
      </c>
      <c r="I16" s="13">
        <v>0</v>
      </c>
      <c r="J16" s="13">
        <v>0</v>
      </c>
      <c r="K16" s="13">
        <v>0</v>
      </c>
      <c r="L16">
        <v>1</v>
      </c>
      <c r="M16" s="13">
        <v>0</v>
      </c>
      <c r="N16">
        <v>0</v>
      </c>
      <c r="O16">
        <v>1</v>
      </c>
      <c r="P16">
        <v>1</v>
      </c>
      <c r="Q16" s="13">
        <v>1</v>
      </c>
    </row>
    <row r="17" spans="1:17" x14ac:dyDescent="0.3">
      <c r="A17" t="s">
        <v>292</v>
      </c>
      <c r="B17">
        <v>0</v>
      </c>
      <c r="C17">
        <v>0</v>
      </c>
      <c r="D17" s="13">
        <v>0</v>
      </c>
      <c r="E17">
        <v>1</v>
      </c>
      <c r="F17">
        <v>0</v>
      </c>
      <c r="G17">
        <v>1</v>
      </c>
      <c r="H17">
        <v>0</v>
      </c>
      <c r="I17" s="13">
        <v>1</v>
      </c>
      <c r="J17" s="13">
        <v>0</v>
      </c>
      <c r="K17" s="13">
        <v>0</v>
      </c>
      <c r="L17">
        <v>0</v>
      </c>
      <c r="M17" s="13">
        <v>0</v>
      </c>
      <c r="N17">
        <v>0</v>
      </c>
      <c r="O17">
        <v>0</v>
      </c>
      <c r="P17">
        <v>0</v>
      </c>
      <c r="Q17" s="13">
        <v>0</v>
      </c>
    </row>
    <row r="18" spans="1:17" x14ac:dyDescent="0.3">
      <c r="A18" t="s">
        <v>293</v>
      </c>
      <c r="B18">
        <v>1</v>
      </c>
      <c r="C18">
        <v>0</v>
      </c>
      <c r="D18" s="13">
        <v>0</v>
      </c>
      <c r="E18">
        <v>0</v>
      </c>
      <c r="F18">
        <v>0</v>
      </c>
      <c r="G18">
        <v>0</v>
      </c>
      <c r="H18">
        <v>0</v>
      </c>
      <c r="I18" s="13">
        <v>0</v>
      </c>
      <c r="J18" s="13">
        <v>1</v>
      </c>
      <c r="K18" s="13">
        <v>0</v>
      </c>
      <c r="L18">
        <v>1</v>
      </c>
      <c r="M18" s="13">
        <v>0</v>
      </c>
      <c r="N18">
        <v>1</v>
      </c>
      <c r="O18">
        <v>0</v>
      </c>
      <c r="P18">
        <v>0</v>
      </c>
      <c r="Q18" s="13">
        <v>0</v>
      </c>
    </row>
    <row r="19" spans="1:17" x14ac:dyDescent="0.3">
      <c r="A19" t="s">
        <v>294</v>
      </c>
      <c r="B19">
        <v>0</v>
      </c>
      <c r="C19">
        <v>1</v>
      </c>
      <c r="D19" s="13">
        <v>0</v>
      </c>
      <c r="E19">
        <v>0</v>
      </c>
      <c r="F19">
        <v>0</v>
      </c>
      <c r="G19">
        <v>0</v>
      </c>
      <c r="H19">
        <v>0</v>
      </c>
      <c r="I19" s="13">
        <v>0</v>
      </c>
      <c r="J19" s="13">
        <v>0</v>
      </c>
      <c r="K19" s="13">
        <v>1</v>
      </c>
      <c r="L19">
        <v>0</v>
      </c>
      <c r="M19" s="13">
        <v>0</v>
      </c>
      <c r="N19">
        <v>0</v>
      </c>
      <c r="O19">
        <v>1</v>
      </c>
      <c r="P19">
        <v>1</v>
      </c>
      <c r="Q19" s="13">
        <v>0</v>
      </c>
    </row>
    <row r="20" spans="1:17" x14ac:dyDescent="0.3">
      <c r="A20" t="s">
        <v>295</v>
      </c>
      <c r="B20">
        <v>1</v>
      </c>
      <c r="C20">
        <v>0</v>
      </c>
      <c r="D20" s="13">
        <v>0</v>
      </c>
      <c r="E20">
        <v>1</v>
      </c>
      <c r="F20">
        <v>0</v>
      </c>
      <c r="G20">
        <v>1</v>
      </c>
      <c r="H20">
        <v>0</v>
      </c>
      <c r="I20" s="13">
        <v>0</v>
      </c>
      <c r="J20" s="13">
        <v>0</v>
      </c>
      <c r="K20" s="13">
        <v>0</v>
      </c>
      <c r="L20">
        <v>0</v>
      </c>
      <c r="M20" s="13">
        <v>0</v>
      </c>
      <c r="N20">
        <v>0</v>
      </c>
      <c r="O20">
        <v>1</v>
      </c>
      <c r="P20">
        <v>0</v>
      </c>
      <c r="Q20" s="13">
        <v>0</v>
      </c>
    </row>
    <row r="21" spans="1:17" x14ac:dyDescent="0.3">
      <c r="A21" t="s">
        <v>296</v>
      </c>
      <c r="B21">
        <v>0</v>
      </c>
      <c r="C21">
        <v>0</v>
      </c>
      <c r="D21" s="13">
        <v>0</v>
      </c>
      <c r="E21">
        <v>0</v>
      </c>
      <c r="F21">
        <v>0</v>
      </c>
      <c r="G21">
        <v>0</v>
      </c>
      <c r="H21">
        <v>1</v>
      </c>
      <c r="I21" s="13">
        <v>0</v>
      </c>
      <c r="J21" s="13">
        <v>0</v>
      </c>
      <c r="K21" s="13">
        <v>1</v>
      </c>
      <c r="L21">
        <v>0</v>
      </c>
      <c r="M21" s="13">
        <v>1</v>
      </c>
      <c r="N21">
        <v>0</v>
      </c>
      <c r="O21">
        <v>0</v>
      </c>
      <c r="P21">
        <v>0</v>
      </c>
      <c r="Q21" s="13">
        <v>0</v>
      </c>
    </row>
    <row r="22" spans="1:17" x14ac:dyDescent="0.3">
      <c r="A22" t="s">
        <v>297</v>
      </c>
      <c r="B22">
        <v>0</v>
      </c>
      <c r="C22">
        <v>1</v>
      </c>
      <c r="D22" s="13">
        <v>0</v>
      </c>
      <c r="E22">
        <v>0</v>
      </c>
      <c r="F22">
        <v>0</v>
      </c>
      <c r="G22">
        <v>0</v>
      </c>
      <c r="H22">
        <v>0</v>
      </c>
      <c r="I22" s="13">
        <v>1</v>
      </c>
      <c r="J22" s="13">
        <v>0</v>
      </c>
      <c r="K22" s="13">
        <v>0</v>
      </c>
      <c r="L22">
        <v>1</v>
      </c>
      <c r="M22" s="13">
        <v>0</v>
      </c>
      <c r="N22">
        <v>1</v>
      </c>
      <c r="O22">
        <v>0</v>
      </c>
      <c r="P22">
        <v>1</v>
      </c>
      <c r="Q22" s="13">
        <v>0</v>
      </c>
    </row>
    <row r="23" spans="1:17" x14ac:dyDescent="0.3">
      <c r="A23" t="s">
        <v>298</v>
      </c>
      <c r="B23">
        <v>1</v>
      </c>
      <c r="C23">
        <v>0</v>
      </c>
      <c r="D23" s="13">
        <v>0</v>
      </c>
      <c r="E23">
        <v>0</v>
      </c>
      <c r="F23">
        <v>0</v>
      </c>
      <c r="G23">
        <v>0</v>
      </c>
      <c r="H23">
        <v>0</v>
      </c>
      <c r="I23" s="13">
        <v>0</v>
      </c>
      <c r="J23" s="13">
        <v>1</v>
      </c>
      <c r="K23" s="13">
        <v>0</v>
      </c>
      <c r="L23">
        <v>0</v>
      </c>
      <c r="M23" s="13">
        <v>1</v>
      </c>
      <c r="N23">
        <v>0</v>
      </c>
      <c r="O23">
        <v>0</v>
      </c>
      <c r="P23">
        <v>0</v>
      </c>
      <c r="Q23" s="13">
        <v>0</v>
      </c>
    </row>
    <row r="24" spans="1:17" x14ac:dyDescent="0.3">
      <c r="A24" t="s">
        <v>299</v>
      </c>
      <c r="B24">
        <v>0</v>
      </c>
      <c r="C24">
        <v>0</v>
      </c>
      <c r="D24" s="13">
        <v>1</v>
      </c>
      <c r="E24">
        <v>0</v>
      </c>
      <c r="F24">
        <v>0</v>
      </c>
      <c r="G24">
        <v>1</v>
      </c>
      <c r="H24">
        <v>0</v>
      </c>
      <c r="I24" s="13">
        <v>1</v>
      </c>
      <c r="J24" s="13">
        <v>0</v>
      </c>
      <c r="K24" s="13">
        <v>0</v>
      </c>
      <c r="L24">
        <v>1</v>
      </c>
      <c r="M24" s="13">
        <v>0</v>
      </c>
      <c r="N24">
        <v>0</v>
      </c>
      <c r="O24">
        <v>0</v>
      </c>
      <c r="P24">
        <v>0</v>
      </c>
      <c r="Q24" s="13">
        <v>0</v>
      </c>
    </row>
    <row r="25" spans="1:17" x14ac:dyDescent="0.3">
      <c r="A25" t="s">
        <v>300</v>
      </c>
      <c r="B25">
        <v>0</v>
      </c>
      <c r="C25">
        <v>1</v>
      </c>
      <c r="D25" s="13">
        <v>0</v>
      </c>
      <c r="E25">
        <v>0</v>
      </c>
      <c r="F25">
        <v>0</v>
      </c>
      <c r="G25">
        <v>0</v>
      </c>
      <c r="H25">
        <v>1</v>
      </c>
      <c r="I25" s="13">
        <v>0</v>
      </c>
      <c r="J25" s="13">
        <v>0</v>
      </c>
      <c r="K25" s="13">
        <v>1</v>
      </c>
      <c r="L25">
        <v>0</v>
      </c>
      <c r="M25" s="13">
        <v>0</v>
      </c>
      <c r="N25">
        <v>0</v>
      </c>
      <c r="O25">
        <v>1</v>
      </c>
      <c r="P25">
        <v>0</v>
      </c>
      <c r="Q25" s="13">
        <v>0</v>
      </c>
    </row>
    <row r="26" spans="1:17" x14ac:dyDescent="0.3">
      <c r="A26" t="s">
        <v>301</v>
      </c>
      <c r="B26">
        <v>0</v>
      </c>
      <c r="C26">
        <v>0</v>
      </c>
      <c r="D26" s="13">
        <v>0</v>
      </c>
      <c r="E26">
        <v>0</v>
      </c>
      <c r="F26">
        <v>0</v>
      </c>
      <c r="G26">
        <v>0</v>
      </c>
      <c r="H26">
        <v>0</v>
      </c>
      <c r="I26" s="13">
        <v>0</v>
      </c>
      <c r="J26" s="13">
        <v>0</v>
      </c>
      <c r="K26" s="13">
        <v>1</v>
      </c>
      <c r="L26">
        <v>1</v>
      </c>
      <c r="M26" s="13">
        <v>0</v>
      </c>
      <c r="N26">
        <v>1</v>
      </c>
      <c r="O26">
        <v>0</v>
      </c>
      <c r="P26">
        <v>0</v>
      </c>
      <c r="Q26" s="13">
        <v>0</v>
      </c>
    </row>
    <row r="27" spans="1:17" x14ac:dyDescent="0.3">
      <c r="A27" t="s">
        <v>302</v>
      </c>
      <c r="B27">
        <v>1</v>
      </c>
      <c r="C27">
        <v>1</v>
      </c>
      <c r="D27" s="13">
        <v>1</v>
      </c>
      <c r="E27">
        <v>1</v>
      </c>
      <c r="F27">
        <v>0</v>
      </c>
      <c r="G27">
        <v>0</v>
      </c>
      <c r="H27">
        <v>0</v>
      </c>
      <c r="I27" s="13">
        <v>0</v>
      </c>
      <c r="J27" s="13">
        <v>0</v>
      </c>
      <c r="K27" s="13">
        <v>0</v>
      </c>
      <c r="L27">
        <v>0</v>
      </c>
      <c r="M27" s="13">
        <v>0</v>
      </c>
      <c r="N27">
        <v>0</v>
      </c>
      <c r="O27">
        <v>0</v>
      </c>
      <c r="P27">
        <v>0</v>
      </c>
      <c r="Q27" s="13">
        <v>0</v>
      </c>
    </row>
    <row r="28" spans="1:17" x14ac:dyDescent="0.3">
      <c r="A28" t="s">
        <v>303</v>
      </c>
      <c r="B28">
        <v>0</v>
      </c>
      <c r="C28">
        <v>0</v>
      </c>
      <c r="D28" s="13">
        <v>0</v>
      </c>
      <c r="E28">
        <v>0</v>
      </c>
      <c r="F28">
        <v>1</v>
      </c>
      <c r="G28">
        <v>1</v>
      </c>
      <c r="H28">
        <v>1</v>
      </c>
      <c r="I28" s="13">
        <v>1</v>
      </c>
      <c r="J28" s="13">
        <v>1</v>
      </c>
      <c r="K28" s="13">
        <v>0</v>
      </c>
      <c r="L28">
        <v>0</v>
      </c>
      <c r="M28" s="13">
        <v>0</v>
      </c>
      <c r="N28">
        <v>0</v>
      </c>
      <c r="O28">
        <v>0</v>
      </c>
      <c r="P28">
        <v>0</v>
      </c>
      <c r="Q28" s="13">
        <v>0</v>
      </c>
    </row>
    <row r="29" spans="1:17" x14ac:dyDescent="0.3">
      <c r="A29" t="s">
        <v>304</v>
      </c>
      <c r="B29">
        <v>0</v>
      </c>
      <c r="C29">
        <v>0</v>
      </c>
      <c r="D29" s="13">
        <v>0</v>
      </c>
      <c r="E29">
        <v>0</v>
      </c>
      <c r="F29">
        <v>0</v>
      </c>
      <c r="G29">
        <v>0</v>
      </c>
      <c r="H29">
        <v>1</v>
      </c>
      <c r="I29" s="13">
        <v>1</v>
      </c>
      <c r="J29" s="13">
        <v>0</v>
      </c>
      <c r="K29" s="13">
        <v>0</v>
      </c>
      <c r="L29">
        <v>1</v>
      </c>
      <c r="M29" s="13">
        <v>0</v>
      </c>
      <c r="N29">
        <v>0</v>
      </c>
      <c r="O29">
        <v>0</v>
      </c>
      <c r="P29">
        <v>0</v>
      </c>
      <c r="Q29" s="13">
        <v>0</v>
      </c>
    </row>
    <row r="30" spans="1:17" x14ac:dyDescent="0.3">
      <c r="A30" t="s">
        <v>305</v>
      </c>
      <c r="B30">
        <v>0</v>
      </c>
      <c r="C30">
        <v>0</v>
      </c>
      <c r="D30" s="13">
        <v>0</v>
      </c>
      <c r="E30">
        <v>0</v>
      </c>
      <c r="F30">
        <v>1</v>
      </c>
      <c r="G30">
        <v>0</v>
      </c>
      <c r="H30">
        <v>0</v>
      </c>
      <c r="I30" s="13">
        <v>0</v>
      </c>
      <c r="J30" s="13">
        <v>1</v>
      </c>
      <c r="K30" s="13">
        <v>1</v>
      </c>
      <c r="L30">
        <v>0</v>
      </c>
      <c r="M30" s="13">
        <v>0</v>
      </c>
      <c r="N30">
        <v>0</v>
      </c>
      <c r="O30">
        <v>0</v>
      </c>
      <c r="P30">
        <v>0</v>
      </c>
      <c r="Q30" s="13">
        <v>0</v>
      </c>
    </row>
    <row r="31" spans="1:17" x14ac:dyDescent="0.3">
      <c r="A31" t="s">
        <v>306</v>
      </c>
      <c r="B31">
        <v>1</v>
      </c>
      <c r="C31">
        <v>1</v>
      </c>
      <c r="D31" s="13">
        <v>0</v>
      </c>
      <c r="E31">
        <v>1</v>
      </c>
      <c r="F31">
        <v>0</v>
      </c>
      <c r="G31">
        <v>1</v>
      </c>
      <c r="H31">
        <v>0</v>
      </c>
      <c r="I31" s="13">
        <v>0</v>
      </c>
      <c r="J31" s="13">
        <v>0</v>
      </c>
      <c r="K31" s="13">
        <v>0</v>
      </c>
      <c r="L31">
        <v>0</v>
      </c>
      <c r="M31" s="13">
        <v>0</v>
      </c>
      <c r="N31">
        <v>0</v>
      </c>
      <c r="O31">
        <v>0</v>
      </c>
      <c r="P31">
        <v>0</v>
      </c>
      <c r="Q31" s="13">
        <v>0</v>
      </c>
    </row>
    <row r="32" spans="1:17" x14ac:dyDescent="0.3">
      <c r="A32" t="s">
        <v>307</v>
      </c>
      <c r="B32">
        <v>0</v>
      </c>
      <c r="C32">
        <v>0</v>
      </c>
      <c r="D32" s="13">
        <v>0</v>
      </c>
      <c r="E32">
        <v>0</v>
      </c>
      <c r="F32">
        <v>0</v>
      </c>
      <c r="G32">
        <v>0</v>
      </c>
      <c r="H32">
        <v>0</v>
      </c>
      <c r="I32" s="13">
        <v>0</v>
      </c>
      <c r="J32" s="13">
        <v>1</v>
      </c>
      <c r="K32" s="13">
        <v>1</v>
      </c>
      <c r="L32">
        <v>1</v>
      </c>
      <c r="M32" s="13">
        <v>0</v>
      </c>
      <c r="N32">
        <v>1</v>
      </c>
      <c r="O32">
        <v>0</v>
      </c>
      <c r="P32">
        <v>0</v>
      </c>
      <c r="Q32" s="13">
        <v>0</v>
      </c>
    </row>
    <row r="33" spans="1:17" x14ac:dyDescent="0.3">
      <c r="A33" t="s">
        <v>308</v>
      </c>
      <c r="B33">
        <v>0</v>
      </c>
      <c r="C33">
        <v>0</v>
      </c>
      <c r="D33" s="13">
        <v>1</v>
      </c>
      <c r="E33">
        <v>0</v>
      </c>
      <c r="F33">
        <v>0</v>
      </c>
      <c r="G33">
        <v>0</v>
      </c>
      <c r="H33">
        <v>0</v>
      </c>
      <c r="I33" s="13">
        <v>0</v>
      </c>
      <c r="J33" s="13">
        <v>0</v>
      </c>
      <c r="K33" s="13">
        <v>0</v>
      </c>
      <c r="L33">
        <v>0</v>
      </c>
      <c r="M33" s="13">
        <v>1</v>
      </c>
      <c r="N33">
        <v>0</v>
      </c>
      <c r="O33">
        <v>1</v>
      </c>
      <c r="P33">
        <v>1</v>
      </c>
      <c r="Q33" s="13">
        <v>0</v>
      </c>
    </row>
    <row r="34" spans="1:17" x14ac:dyDescent="0.3">
      <c r="A34" t="s">
        <v>309</v>
      </c>
      <c r="B34">
        <v>1</v>
      </c>
      <c r="C34">
        <v>1</v>
      </c>
      <c r="D34" s="13">
        <v>0</v>
      </c>
      <c r="E34">
        <v>0</v>
      </c>
      <c r="F34">
        <v>0</v>
      </c>
      <c r="G34">
        <v>0</v>
      </c>
      <c r="H34">
        <v>0</v>
      </c>
      <c r="I34" s="13">
        <v>0</v>
      </c>
      <c r="J34" s="13">
        <v>0</v>
      </c>
      <c r="K34" s="13">
        <v>0</v>
      </c>
      <c r="L34">
        <v>0</v>
      </c>
      <c r="M34" s="13">
        <v>0</v>
      </c>
      <c r="N34">
        <v>0</v>
      </c>
      <c r="O34">
        <v>0</v>
      </c>
      <c r="P34">
        <v>0</v>
      </c>
      <c r="Q34" s="13">
        <v>1</v>
      </c>
    </row>
    <row r="35" spans="1:17" x14ac:dyDescent="0.3">
      <c r="A35" t="s">
        <v>310</v>
      </c>
      <c r="B35">
        <v>0</v>
      </c>
      <c r="C35">
        <v>0</v>
      </c>
      <c r="D35" s="13">
        <v>1</v>
      </c>
      <c r="E35">
        <v>0</v>
      </c>
      <c r="F35">
        <v>0</v>
      </c>
      <c r="G35">
        <v>0</v>
      </c>
      <c r="H35">
        <v>0</v>
      </c>
      <c r="I35" s="13">
        <v>0</v>
      </c>
      <c r="J35" s="13">
        <v>0</v>
      </c>
      <c r="K35" s="13">
        <v>0</v>
      </c>
      <c r="L35">
        <v>1</v>
      </c>
      <c r="M35" s="13">
        <v>1</v>
      </c>
      <c r="N35">
        <v>1</v>
      </c>
      <c r="O35">
        <v>0</v>
      </c>
      <c r="P35">
        <v>0</v>
      </c>
      <c r="Q35" s="13">
        <v>0</v>
      </c>
    </row>
    <row r="36" spans="1:17" x14ac:dyDescent="0.3">
      <c r="A36" t="s">
        <v>311</v>
      </c>
      <c r="B36">
        <v>0</v>
      </c>
      <c r="C36">
        <v>0</v>
      </c>
      <c r="D36" s="13">
        <v>0</v>
      </c>
      <c r="E36">
        <v>1</v>
      </c>
      <c r="F36">
        <v>0</v>
      </c>
      <c r="G36">
        <v>1</v>
      </c>
      <c r="H36">
        <v>0</v>
      </c>
      <c r="I36" s="13">
        <v>0</v>
      </c>
      <c r="J36" s="13">
        <v>1</v>
      </c>
      <c r="K36" s="13">
        <v>1</v>
      </c>
      <c r="L36">
        <v>0</v>
      </c>
      <c r="M36" s="13">
        <v>0</v>
      </c>
      <c r="N36">
        <v>0</v>
      </c>
      <c r="O36">
        <v>0</v>
      </c>
      <c r="P36">
        <v>0</v>
      </c>
      <c r="Q36" s="13">
        <v>0</v>
      </c>
    </row>
    <row r="37" spans="1:17" x14ac:dyDescent="0.3">
      <c r="A37" t="s">
        <v>312</v>
      </c>
      <c r="B37">
        <v>0</v>
      </c>
      <c r="C37">
        <v>1</v>
      </c>
      <c r="D37" s="13">
        <v>0</v>
      </c>
      <c r="E37">
        <v>0</v>
      </c>
      <c r="F37">
        <v>1</v>
      </c>
      <c r="G37">
        <v>0</v>
      </c>
      <c r="H37">
        <v>1</v>
      </c>
      <c r="I37" s="13">
        <v>1</v>
      </c>
      <c r="J37" s="13">
        <v>0</v>
      </c>
      <c r="K37" s="13">
        <v>0</v>
      </c>
      <c r="L37">
        <v>0</v>
      </c>
      <c r="M37" s="13">
        <v>0</v>
      </c>
      <c r="N37">
        <v>0</v>
      </c>
      <c r="O37">
        <v>0</v>
      </c>
      <c r="P37">
        <v>0</v>
      </c>
      <c r="Q37" s="13">
        <v>1</v>
      </c>
    </row>
    <row r="38" spans="1:17" x14ac:dyDescent="0.3">
      <c r="A38" t="s">
        <v>313</v>
      </c>
      <c r="B38">
        <v>0</v>
      </c>
      <c r="C38">
        <v>1</v>
      </c>
      <c r="D38" s="13">
        <v>0</v>
      </c>
      <c r="E38">
        <v>0</v>
      </c>
      <c r="F38">
        <v>0</v>
      </c>
      <c r="G38">
        <v>0</v>
      </c>
      <c r="H38">
        <v>0</v>
      </c>
      <c r="I38" s="13">
        <v>0</v>
      </c>
      <c r="J38" s="13">
        <v>1</v>
      </c>
      <c r="K38" s="13">
        <v>0</v>
      </c>
      <c r="L38">
        <v>1</v>
      </c>
      <c r="M38" s="13">
        <v>0</v>
      </c>
      <c r="N38">
        <v>0</v>
      </c>
      <c r="O38">
        <v>0</v>
      </c>
      <c r="P38">
        <v>0</v>
      </c>
      <c r="Q38" s="13">
        <v>1</v>
      </c>
    </row>
    <row r="39" spans="1:17" x14ac:dyDescent="0.3">
      <c r="A39" t="s">
        <v>314</v>
      </c>
      <c r="B39">
        <v>1</v>
      </c>
      <c r="C39">
        <v>0</v>
      </c>
      <c r="D39" s="13">
        <v>0</v>
      </c>
      <c r="E39">
        <v>1</v>
      </c>
      <c r="F39">
        <v>0</v>
      </c>
      <c r="G39">
        <v>0</v>
      </c>
      <c r="H39">
        <v>0</v>
      </c>
      <c r="I39" s="13">
        <v>1</v>
      </c>
      <c r="J39" s="13">
        <v>0</v>
      </c>
      <c r="K39" s="13">
        <v>1</v>
      </c>
      <c r="L39">
        <v>0</v>
      </c>
      <c r="M39" s="13">
        <v>0</v>
      </c>
      <c r="N39">
        <v>0</v>
      </c>
      <c r="O39">
        <v>0</v>
      </c>
      <c r="P39">
        <v>0</v>
      </c>
      <c r="Q39" s="13">
        <v>0</v>
      </c>
    </row>
    <row r="40" spans="1:17" x14ac:dyDescent="0.3">
      <c r="A40" t="s">
        <v>315</v>
      </c>
      <c r="B40">
        <v>0</v>
      </c>
      <c r="C40">
        <v>0</v>
      </c>
      <c r="D40" s="13">
        <v>0</v>
      </c>
      <c r="E40">
        <v>0</v>
      </c>
      <c r="F40">
        <v>0</v>
      </c>
      <c r="G40">
        <v>0</v>
      </c>
      <c r="H40">
        <v>0</v>
      </c>
      <c r="I40" s="13">
        <v>0</v>
      </c>
      <c r="J40" s="13">
        <v>0</v>
      </c>
      <c r="K40" s="13">
        <v>0</v>
      </c>
      <c r="L40">
        <v>0</v>
      </c>
      <c r="M40" s="13">
        <v>1</v>
      </c>
      <c r="N40">
        <v>1</v>
      </c>
      <c r="O40">
        <v>1</v>
      </c>
      <c r="P40">
        <v>1</v>
      </c>
      <c r="Q40" s="13">
        <v>0</v>
      </c>
    </row>
    <row r="41" spans="1:17" x14ac:dyDescent="0.3">
      <c r="A41" t="s">
        <v>316</v>
      </c>
      <c r="B41">
        <v>1</v>
      </c>
      <c r="C41">
        <v>0</v>
      </c>
      <c r="D41" s="13">
        <v>0</v>
      </c>
      <c r="E41">
        <v>0</v>
      </c>
      <c r="F41">
        <v>0</v>
      </c>
      <c r="G41">
        <v>0</v>
      </c>
      <c r="H41">
        <v>0</v>
      </c>
      <c r="I41" s="13">
        <v>0</v>
      </c>
      <c r="J41" s="13">
        <v>1</v>
      </c>
      <c r="K41" s="13">
        <v>0</v>
      </c>
      <c r="L41">
        <v>1</v>
      </c>
      <c r="M41" s="13">
        <v>0</v>
      </c>
      <c r="N41">
        <v>1</v>
      </c>
      <c r="O41">
        <v>0</v>
      </c>
      <c r="P41">
        <v>0</v>
      </c>
      <c r="Q41" s="13">
        <v>0</v>
      </c>
    </row>
    <row r="42" spans="1:17" x14ac:dyDescent="0.3">
      <c r="A42" t="s">
        <v>317</v>
      </c>
      <c r="B42">
        <v>0</v>
      </c>
      <c r="C42">
        <v>0</v>
      </c>
      <c r="D42" s="13">
        <v>0</v>
      </c>
      <c r="E42">
        <v>1</v>
      </c>
      <c r="F42">
        <v>1</v>
      </c>
      <c r="G42">
        <v>1</v>
      </c>
      <c r="H42">
        <v>0</v>
      </c>
      <c r="I42" s="13">
        <v>0</v>
      </c>
      <c r="J42" s="13">
        <v>0</v>
      </c>
      <c r="K42" s="13">
        <v>0</v>
      </c>
      <c r="L42">
        <v>0</v>
      </c>
      <c r="M42" s="13">
        <v>0</v>
      </c>
      <c r="N42">
        <v>0</v>
      </c>
      <c r="O42">
        <v>0</v>
      </c>
      <c r="P42">
        <v>0</v>
      </c>
      <c r="Q42" s="13">
        <v>0</v>
      </c>
    </row>
    <row r="43" spans="1:17" x14ac:dyDescent="0.3">
      <c r="A43" t="s">
        <v>318</v>
      </c>
      <c r="B43">
        <v>0</v>
      </c>
      <c r="C43">
        <v>0</v>
      </c>
      <c r="D43" s="13">
        <v>1</v>
      </c>
      <c r="E43">
        <v>0</v>
      </c>
      <c r="F43">
        <v>0</v>
      </c>
      <c r="G43">
        <v>0</v>
      </c>
      <c r="H43">
        <v>1</v>
      </c>
      <c r="I43" s="13">
        <v>1</v>
      </c>
      <c r="J43" s="13">
        <v>0</v>
      </c>
      <c r="K43" s="13">
        <v>0</v>
      </c>
      <c r="L43">
        <v>0</v>
      </c>
      <c r="M43" s="13">
        <v>1</v>
      </c>
      <c r="N43">
        <v>0</v>
      </c>
      <c r="O43">
        <v>0</v>
      </c>
      <c r="P43">
        <v>0</v>
      </c>
      <c r="Q43" s="13">
        <v>1</v>
      </c>
    </row>
    <row r="44" spans="1:17" x14ac:dyDescent="0.3">
      <c r="A44" t="s">
        <v>319</v>
      </c>
      <c r="B44">
        <v>0</v>
      </c>
      <c r="C44">
        <v>0</v>
      </c>
      <c r="D44" s="13">
        <v>0</v>
      </c>
      <c r="E44">
        <v>0</v>
      </c>
      <c r="F44">
        <v>0</v>
      </c>
      <c r="G44">
        <v>0</v>
      </c>
      <c r="H44">
        <v>1</v>
      </c>
      <c r="I44" s="13">
        <v>0</v>
      </c>
      <c r="J44" s="13">
        <v>0</v>
      </c>
      <c r="K44" s="13">
        <v>0</v>
      </c>
      <c r="L44">
        <v>1</v>
      </c>
      <c r="M44" s="13">
        <v>0</v>
      </c>
      <c r="N44">
        <v>0</v>
      </c>
      <c r="O44">
        <v>0</v>
      </c>
      <c r="P44">
        <v>1</v>
      </c>
      <c r="Q44" s="13">
        <v>0</v>
      </c>
    </row>
    <row r="45" spans="1:17" x14ac:dyDescent="0.3">
      <c r="A45" t="s">
        <v>320</v>
      </c>
      <c r="B45">
        <v>1</v>
      </c>
      <c r="C45">
        <v>0</v>
      </c>
      <c r="D45" s="13">
        <v>0</v>
      </c>
      <c r="E45">
        <v>0</v>
      </c>
      <c r="F45">
        <v>0</v>
      </c>
      <c r="G45">
        <v>1</v>
      </c>
      <c r="H45">
        <v>0</v>
      </c>
      <c r="I45" s="13">
        <v>0</v>
      </c>
      <c r="J45" s="13">
        <v>0</v>
      </c>
      <c r="K45" s="13">
        <v>1</v>
      </c>
      <c r="L45">
        <v>0</v>
      </c>
      <c r="M45" s="13">
        <v>0</v>
      </c>
      <c r="N45">
        <v>1</v>
      </c>
      <c r="O45">
        <v>0</v>
      </c>
      <c r="P45">
        <v>0</v>
      </c>
      <c r="Q45" s="13">
        <v>0</v>
      </c>
    </row>
    <row r="46" spans="1:17" x14ac:dyDescent="0.3">
      <c r="A46" t="s">
        <v>321</v>
      </c>
      <c r="B46">
        <v>0</v>
      </c>
      <c r="C46">
        <v>1</v>
      </c>
      <c r="D46" s="13">
        <v>0</v>
      </c>
      <c r="E46">
        <v>1</v>
      </c>
      <c r="F46">
        <v>1</v>
      </c>
      <c r="G46">
        <v>0</v>
      </c>
      <c r="H46">
        <v>0</v>
      </c>
      <c r="I46" s="13">
        <v>1</v>
      </c>
      <c r="J46" s="13">
        <v>1</v>
      </c>
      <c r="K46" s="13">
        <v>0</v>
      </c>
      <c r="L46">
        <v>0</v>
      </c>
      <c r="M46" s="13">
        <v>0</v>
      </c>
      <c r="N46">
        <v>0</v>
      </c>
      <c r="O46">
        <v>0</v>
      </c>
      <c r="P46">
        <v>0</v>
      </c>
      <c r="Q46" s="13">
        <v>0</v>
      </c>
    </row>
    <row r="47" spans="1:17" x14ac:dyDescent="0.3">
      <c r="A47" t="s">
        <v>322</v>
      </c>
      <c r="B47">
        <v>0</v>
      </c>
      <c r="C47">
        <v>0</v>
      </c>
      <c r="D47" s="13">
        <v>1</v>
      </c>
      <c r="E47">
        <v>0</v>
      </c>
      <c r="F47">
        <v>0</v>
      </c>
      <c r="G47">
        <v>0</v>
      </c>
      <c r="H47">
        <v>1</v>
      </c>
      <c r="I47" s="13">
        <v>1</v>
      </c>
      <c r="J47" s="13">
        <v>0</v>
      </c>
      <c r="K47" s="13">
        <v>0</v>
      </c>
      <c r="L47">
        <v>1</v>
      </c>
      <c r="M47" s="13">
        <v>0</v>
      </c>
      <c r="N47">
        <v>0</v>
      </c>
      <c r="O47">
        <v>0</v>
      </c>
      <c r="P47">
        <v>0</v>
      </c>
      <c r="Q47" s="13">
        <v>0</v>
      </c>
    </row>
    <row r="48" spans="1:17" x14ac:dyDescent="0.3">
      <c r="A48" t="s">
        <v>323</v>
      </c>
      <c r="B48">
        <v>0</v>
      </c>
      <c r="C48">
        <v>0</v>
      </c>
      <c r="D48" s="13">
        <v>0</v>
      </c>
      <c r="E48">
        <v>0</v>
      </c>
      <c r="F48">
        <v>1</v>
      </c>
      <c r="G48">
        <v>0</v>
      </c>
      <c r="H48">
        <v>0</v>
      </c>
      <c r="I48" s="13">
        <v>0</v>
      </c>
      <c r="J48" s="13">
        <v>1</v>
      </c>
      <c r="K48" s="13">
        <v>1</v>
      </c>
      <c r="L48">
        <v>0</v>
      </c>
      <c r="M48" s="13">
        <v>0</v>
      </c>
      <c r="N48">
        <v>0</v>
      </c>
      <c r="O48">
        <v>0</v>
      </c>
      <c r="P48">
        <v>0</v>
      </c>
      <c r="Q48" s="13">
        <v>0</v>
      </c>
    </row>
    <row r="49" spans="1:17" x14ac:dyDescent="0.3">
      <c r="A49" t="s">
        <v>324</v>
      </c>
      <c r="B49">
        <v>1</v>
      </c>
      <c r="C49">
        <v>1</v>
      </c>
      <c r="D49" s="13">
        <v>0</v>
      </c>
      <c r="E49">
        <v>1</v>
      </c>
      <c r="F49">
        <v>0</v>
      </c>
      <c r="G49">
        <v>1</v>
      </c>
      <c r="H49">
        <v>0</v>
      </c>
      <c r="I49" s="13">
        <v>0</v>
      </c>
      <c r="J49" s="13">
        <v>0</v>
      </c>
      <c r="K49" s="13">
        <v>0</v>
      </c>
      <c r="L49">
        <v>0</v>
      </c>
      <c r="M49" s="13">
        <v>0</v>
      </c>
      <c r="N49">
        <v>0</v>
      </c>
      <c r="O49">
        <v>0</v>
      </c>
      <c r="P49">
        <v>0</v>
      </c>
      <c r="Q49" s="13">
        <v>0</v>
      </c>
    </row>
    <row r="50" spans="1:17" x14ac:dyDescent="0.3">
      <c r="A50" t="s">
        <v>325</v>
      </c>
      <c r="B50">
        <v>0</v>
      </c>
      <c r="C50">
        <v>0</v>
      </c>
      <c r="D50" s="13">
        <v>0</v>
      </c>
      <c r="E50">
        <v>0</v>
      </c>
      <c r="F50">
        <v>1</v>
      </c>
      <c r="G50">
        <v>1</v>
      </c>
      <c r="H50">
        <v>0</v>
      </c>
      <c r="I50" s="13">
        <v>0</v>
      </c>
      <c r="J50" s="13">
        <v>0</v>
      </c>
      <c r="K50" s="13">
        <v>0</v>
      </c>
      <c r="L50">
        <v>0</v>
      </c>
      <c r="M50" s="13">
        <v>0</v>
      </c>
      <c r="N50">
        <v>1</v>
      </c>
      <c r="O50">
        <v>0</v>
      </c>
      <c r="P50">
        <v>0</v>
      </c>
      <c r="Q50" s="13">
        <v>0</v>
      </c>
    </row>
    <row r="51" spans="1:17" x14ac:dyDescent="0.3">
      <c r="A51" t="s">
        <v>326</v>
      </c>
      <c r="B51">
        <v>1</v>
      </c>
      <c r="C51">
        <v>0</v>
      </c>
      <c r="D51" s="13">
        <v>0</v>
      </c>
      <c r="E51">
        <v>1</v>
      </c>
      <c r="F51">
        <v>0</v>
      </c>
      <c r="G51">
        <v>0</v>
      </c>
      <c r="H51">
        <v>0</v>
      </c>
      <c r="I51" s="13">
        <v>0</v>
      </c>
      <c r="J51" s="13">
        <v>0</v>
      </c>
      <c r="K51" s="13">
        <v>0</v>
      </c>
      <c r="L51">
        <v>1</v>
      </c>
      <c r="M51" s="13">
        <v>0</v>
      </c>
      <c r="N51">
        <v>0</v>
      </c>
      <c r="O51">
        <v>0</v>
      </c>
      <c r="P51">
        <v>0</v>
      </c>
      <c r="Q51" s="13">
        <v>0</v>
      </c>
    </row>
    <row r="52" spans="1:17" x14ac:dyDescent="0.3">
      <c r="A52" t="s">
        <v>327</v>
      </c>
      <c r="B52">
        <v>0</v>
      </c>
      <c r="C52">
        <v>1</v>
      </c>
      <c r="D52" s="13">
        <v>0</v>
      </c>
      <c r="E52">
        <v>0</v>
      </c>
      <c r="F52">
        <v>0</v>
      </c>
      <c r="G52">
        <v>0</v>
      </c>
      <c r="H52">
        <v>0</v>
      </c>
      <c r="I52" s="13">
        <v>0</v>
      </c>
      <c r="J52" s="13">
        <v>1</v>
      </c>
      <c r="K52" s="13">
        <v>1</v>
      </c>
      <c r="L52">
        <v>0</v>
      </c>
      <c r="M52" s="13">
        <v>0</v>
      </c>
      <c r="N52">
        <v>0</v>
      </c>
      <c r="O52">
        <v>1</v>
      </c>
      <c r="P52">
        <v>1</v>
      </c>
      <c r="Q52" s="13">
        <v>0</v>
      </c>
    </row>
    <row r="53" spans="1:17" x14ac:dyDescent="0.3">
      <c r="A53" t="s">
        <v>328</v>
      </c>
      <c r="B53">
        <v>1</v>
      </c>
      <c r="C53">
        <v>0</v>
      </c>
      <c r="D53" s="13">
        <v>0</v>
      </c>
      <c r="E53">
        <v>0</v>
      </c>
      <c r="F53">
        <v>1</v>
      </c>
      <c r="G53">
        <v>1</v>
      </c>
      <c r="H53">
        <v>0</v>
      </c>
      <c r="I53" s="13">
        <v>0</v>
      </c>
      <c r="J53" s="13">
        <v>0</v>
      </c>
      <c r="K53" s="13">
        <v>0</v>
      </c>
      <c r="L53">
        <v>0</v>
      </c>
      <c r="M53" s="13">
        <v>0</v>
      </c>
      <c r="N53">
        <v>0</v>
      </c>
      <c r="O53">
        <v>0</v>
      </c>
      <c r="P53">
        <v>0</v>
      </c>
      <c r="Q53" s="13">
        <v>0</v>
      </c>
    </row>
    <row r="54" spans="1:17" x14ac:dyDescent="0.3">
      <c r="A54" t="s">
        <v>329</v>
      </c>
      <c r="B54">
        <v>0</v>
      </c>
      <c r="C54">
        <v>0</v>
      </c>
      <c r="D54" s="13">
        <v>1</v>
      </c>
      <c r="E54">
        <v>1</v>
      </c>
      <c r="F54">
        <v>0</v>
      </c>
      <c r="G54">
        <v>0</v>
      </c>
      <c r="H54">
        <v>0</v>
      </c>
      <c r="I54" s="13">
        <v>0</v>
      </c>
      <c r="J54" s="13">
        <v>0</v>
      </c>
      <c r="K54" s="13">
        <v>1</v>
      </c>
      <c r="L54">
        <v>0</v>
      </c>
      <c r="M54" s="13">
        <v>1</v>
      </c>
      <c r="N54">
        <v>0</v>
      </c>
      <c r="O54">
        <v>0</v>
      </c>
      <c r="P54">
        <v>0</v>
      </c>
      <c r="Q54" s="13">
        <v>0</v>
      </c>
    </row>
    <row r="55" spans="1:17" x14ac:dyDescent="0.3">
      <c r="A55" t="s">
        <v>330</v>
      </c>
      <c r="B55">
        <v>0</v>
      </c>
      <c r="C55">
        <v>1</v>
      </c>
      <c r="D55" s="13">
        <v>0</v>
      </c>
      <c r="E55">
        <v>0</v>
      </c>
      <c r="F55">
        <v>0</v>
      </c>
      <c r="G55">
        <v>0</v>
      </c>
      <c r="H55">
        <v>0</v>
      </c>
      <c r="I55" s="13">
        <v>0</v>
      </c>
      <c r="J55" s="13">
        <v>0</v>
      </c>
      <c r="K55" s="13">
        <v>0</v>
      </c>
      <c r="L55">
        <v>1</v>
      </c>
      <c r="M55" s="13">
        <v>0</v>
      </c>
      <c r="N55">
        <v>1</v>
      </c>
      <c r="O55">
        <v>0</v>
      </c>
      <c r="P55">
        <v>1</v>
      </c>
      <c r="Q55" s="13">
        <v>1</v>
      </c>
    </row>
    <row r="56" spans="1:17" x14ac:dyDescent="0.3">
      <c r="A56" t="s">
        <v>331</v>
      </c>
      <c r="B56">
        <v>0</v>
      </c>
      <c r="C56">
        <v>0</v>
      </c>
      <c r="D56" s="13">
        <v>0</v>
      </c>
      <c r="E56">
        <v>1</v>
      </c>
      <c r="F56">
        <v>0</v>
      </c>
      <c r="G56">
        <v>0</v>
      </c>
      <c r="H56">
        <v>0</v>
      </c>
      <c r="I56" s="13">
        <v>0</v>
      </c>
      <c r="J56" s="13">
        <v>1</v>
      </c>
      <c r="K56" s="13">
        <v>1</v>
      </c>
      <c r="L56">
        <v>0</v>
      </c>
      <c r="M56" s="13">
        <v>0</v>
      </c>
      <c r="N56">
        <v>1</v>
      </c>
      <c r="O56">
        <v>0</v>
      </c>
      <c r="P56">
        <v>0</v>
      </c>
      <c r="Q56" s="13">
        <v>0</v>
      </c>
    </row>
    <row r="57" spans="1:17" x14ac:dyDescent="0.3">
      <c r="A57" t="s">
        <v>332</v>
      </c>
      <c r="B57">
        <v>0</v>
      </c>
      <c r="C57">
        <v>0</v>
      </c>
      <c r="D57" s="13">
        <v>1</v>
      </c>
      <c r="E57">
        <v>0</v>
      </c>
      <c r="F57">
        <v>0</v>
      </c>
      <c r="G57">
        <v>0</v>
      </c>
      <c r="H57">
        <v>0</v>
      </c>
      <c r="I57" s="13">
        <v>0</v>
      </c>
      <c r="J57" s="13">
        <v>0</v>
      </c>
      <c r="K57" s="13">
        <v>0</v>
      </c>
      <c r="L57">
        <v>0</v>
      </c>
      <c r="M57" s="13">
        <v>1</v>
      </c>
      <c r="N57">
        <v>0</v>
      </c>
      <c r="O57">
        <v>1</v>
      </c>
      <c r="P57">
        <v>1</v>
      </c>
      <c r="Q57" s="13">
        <v>0</v>
      </c>
    </row>
    <row r="58" spans="1:17" x14ac:dyDescent="0.3">
      <c r="A58" t="s">
        <v>333</v>
      </c>
      <c r="B58">
        <v>1</v>
      </c>
      <c r="C58">
        <v>1</v>
      </c>
      <c r="D58" s="13">
        <v>0</v>
      </c>
      <c r="E58">
        <v>0</v>
      </c>
      <c r="F58">
        <v>0</v>
      </c>
      <c r="G58">
        <v>0</v>
      </c>
      <c r="H58">
        <v>0</v>
      </c>
      <c r="I58" s="13">
        <v>0</v>
      </c>
      <c r="J58" s="13">
        <v>0</v>
      </c>
      <c r="K58" s="13">
        <v>0</v>
      </c>
      <c r="L58">
        <v>0</v>
      </c>
      <c r="M58" s="13">
        <v>0</v>
      </c>
      <c r="N58">
        <v>0</v>
      </c>
      <c r="O58">
        <v>0</v>
      </c>
      <c r="P58">
        <v>0</v>
      </c>
      <c r="Q58" s="13">
        <v>1</v>
      </c>
    </row>
    <row r="59" spans="1:17" x14ac:dyDescent="0.3">
      <c r="A59" t="s">
        <v>334</v>
      </c>
      <c r="B59">
        <v>0</v>
      </c>
      <c r="C59">
        <v>0</v>
      </c>
      <c r="D59" s="13">
        <v>0</v>
      </c>
      <c r="E59">
        <v>1</v>
      </c>
      <c r="F59">
        <v>0</v>
      </c>
      <c r="G59">
        <v>0</v>
      </c>
      <c r="H59">
        <v>0</v>
      </c>
      <c r="I59" s="13">
        <v>0</v>
      </c>
      <c r="J59" s="13">
        <v>1</v>
      </c>
      <c r="K59" s="13">
        <v>0</v>
      </c>
      <c r="L59">
        <v>1</v>
      </c>
      <c r="M59" s="13">
        <v>0</v>
      </c>
      <c r="N59">
        <v>1</v>
      </c>
      <c r="O59">
        <v>0</v>
      </c>
      <c r="P59">
        <v>0</v>
      </c>
      <c r="Q59" s="13">
        <v>0</v>
      </c>
    </row>
    <row r="60" spans="1:17" x14ac:dyDescent="0.3">
      <c r="A60" t="s">
        <v>335</v>
      </c>
      <c r="B60">
        <v>0</v>
      </c>
      <c r="C60">
        <v>0</v>
      </c>
      <c r="D60" s="13">
        <v>1</v>
      </c>
      <c r="E60">
        <v>0</v>
      </c>
      <c r="F60">
        <v>0</v>
      </c>
      <c r="G60">
        <v>0</v>
      </c>
      <c r="H60">
        <v>0</v>
      </c>
      <c r="I60" s="13">
        <v>0</v>
      </c>
      <c r="J60" s="13">
        <v>0</v>
      </c>
      <c r="K60" s="13">
        <v>0</v>
      </c>
      <c r="L60">
        <v>0</v>
      </c>
      <c r="M60" s="13">
        <v>1</v>
      </c>
      <c r="N60">
        <v>0</v>
      </c>
      <c r="O60">
        <v>1</v>
      </c>
      <c r="P60">
        <v>1</v>
      </c>
      <c r="Q60" s="13">
        <v>0</v>
      </c>
    </row>
    <row r="61" spans="1:17" x14ac:dyDescent="0.3">
      <c r="A61" t="s">
        <v>336</v>
      </c>
      <c r="B61">
        <v>1</v>
      </c>
      <c r="C61">
        <v>1</v>
      </c>
      <c r="D61" s="13">
        <v>0</v>
      </c>
      <c r="E61">
        <v>0</v>
      </c>
      <c r="F61">
        <v>0</v>
      </c>
      <c r="G61">
        <v>0</v>
      </c>
      <c r="H61">
        <v>0</v>
      </c>
      <c r="I61" s="13">
        <v>0</v>
      </c>
      <c r="J61" s="13">
        <v>0</v>
      </c>
      <c r="K61" s="13">
        <v>0</v>
      </c>
      <c r="L61">
        <v>0</v>
      </c>
      <c r="M61" s="13">
        <v>0</v>
      </c>
      <c r="N61">
        <v>0</v>
      </c>
      <c r="O61">
        <v>0</v>
      </c>
      <c r="P61">
        <v>0</v>
      </c>
      <c r="Q61" s="13">
        <v>1</v>
      </c>
    </row>
    <row r="62" spans="1:17" x14ac:dyDescent="0.3">
      <c r="A62" t="s">
        <v>337</v>
      </c>
      <c r="B62">
        <v>0</v>
      </c>
      <c r="C62">
        <v>0</v>
      </c>
      <c r="D62" s="13">
        <v>0</v>
      </c>
      <c r="E62">
        <v>0</v>
      </c>
      <c r="F62">
        <v>0</v>
      </c>
      <c r="G62">
        <v>0</v>
      </c>
      <c r="H62">
        <v>0</v>
      </c>
      <c r="I62" s="13">
        <v>0</v>
      </c>
      <c r="J62" s="13">
        <v>1</v>
      </c>
      <c r="K62" s="13">
        <v>0</v>
      </c>
      <c r="L62">
        <v>1</v>
      </c>
      <c r="M62" s="13">
        <v>1</v>
      </c>
      <c r="N62">
        <v>1</v>
      </c>
      <c r="O62">
        <v>0</v>
      </c>
      <c r="P62">
        <v>0</v>
      </c>
      <c r="Q62" s="13">
        <v>0</v>
      </c>
    </row>
    <row r="63" spans="1:17" x14ac:dyDescent="0.3">
      <c r="A63" t="s">
        <v>338</v>
      </c>
      <c r="B63">
        <v>0</v>
      </c>
      <c r="C63">
        <v>0</v>
      </c>
      <c r="D63" s="13">
        <v>0</v>
      </c>
      <c r="E63">
        <v>0</v>
      </c>
      <c r="F63">
        <v>0</v>
      </c>
      <c r="G63">
        <v>0</v>
      </c>
      <c r="H63">
        <v>1</v>
      </c>
      <c r="I63" s="13">
        <v>0</v>
      </c>
      <c r="J63" s="13">
        <v>0</v>
      </c>
      <c r="K63" s="13">
        <v>1</v>
      </c>
      <c r="L63">
        <v>0</v>
      </c>
      <c r="M63" s="13">
        <v>0</v>
      </c>
      <c r="N63">
        <v>0</v>
      </c>
      <c r="O63">
        <v>1</v>
      </c>
      <c r="P63">
        <v>0</v>
      </c>
      <c r="Q63" s="13">
        <v>1</v>
      </c>
    </row>
    <row r="64" spans="1:17" x14ac:dyDescent="0.3">
      <c r="A64" t="s">
        <v>339</v>
      </c>
      <c r="B64">
        <v>1</v>
      </c>
      <c r="C64">
        <v>1</v>
      </c>
      <c r="D64" s="13">
        <v>1</v>
      </c>
      <c r="E64">
        <v>1</v>
      </c>
      <c r="F64">
        <v>0</v>
      </c>
      <c r="G64">
        <v>0</v>
      </c>
      <c r="H64">
        <v>0</v>
      </c>
      <c r="I64" s="13">
        <v>0</v>
      </c>
      <c r="J64" s="13">
        <v>0</v>
      </c>
      <c r="K64" s="13">
        <v>0</v>
      </c>
      <c r="L64">
        <v>0</v>
      </c>
      <c r="M64" s="13">
        <v>0</v>
      </c>
      <c r="N64">
        <v>0</v>
      </c>
      <c r="O64">
        <v>0</v>
      </c>
      <c r="P64">
        <v>0</v>
      </c>
      <c r="Q64" s="13">
        <v>0</v>
      </c>
    </row>
    <row r="65" spans="1:17" x14ac:dyDescent="0.3">
      <c r="A65" t="s">
        <v>340</v>
      </c>
      <c r="B65">
        <v>0</v>
      </c>
      <c r="C65">
        <v>0</v>
      </c>
      <c r="D65" s="13">
        <v>1</v>
      </c>
      <c r="E65">
        <v>0</v>
      </c>
      <c r="F65">
        <v>0</v>
      </c>
      <c r="G65">
        <v>0</v>
      </c>
      <c r="H65">
        <v>0</v>
      </c>
      <c r="I65" s="13">
        <v>0</v>
      </c>
      <c r="J65" s="13">
        <v>0</v>
      </c>
      <c r="K65" s="13">
        <v>1</v>
      </c>
      <c r="L65">
        <v>0</v>
      </c>
      <c r="M65" s="13">
        <v>0</v>
      </c>
      <c r="N65">
        <v>1</v>
      </c>
      <c r="O65">
        <v>0</v>
      </c>
      <c r="P65">
        <v>1</v>
      </c>
      <c r="Q65" s="13">
        <v>0</v>
      </c>
    </row>
    <row r="66" spans="1:17" x14ac:dyDescent="0.3">
      <c r="A66" t="s">
        <v>341</v>
      </c>
      <c r="B66">
        <v>0</v>
      </c>
      <c r="C66">
        <v>1</v>
      </c>
      <c r="D66" s="13">
        <v>0</v>
      </c>
      <c r="E66">
        <v>1</v>
      </c>
      <c r="F66">
        <v>1</v>
      </c>
      <c r="G66">
        <v>0</v>
      </c>
      <c r="H66">
        <v>0</v>
      </c>
      <c r="I66" s="13">
        <v>0</v>
      </c>
      <c r="J66" s="13">
        <v>0</v>
      </c>
      <c r="K66" s="13">
        <v>0</v>
      </c>
      <c r="L66">
        <v>0</v>
      </c>
      <c r="M66" s="13">
        <v>0</v>
      </c>
      <c r="N66">
        <v>0</v>
      </c>
      <c r="O66">
        <v>1</v>
      </c>
      <c r="P66">
        <v>0</v>
      </c>
      <c r="Q66" s="13">
        <v>0</v>
      </c>
    </row>
    <row r="67" spans="1:17" x14ac:dyDescent="0.3">
      <c r="A67" t="s">
        <v>342</v>
      </c>
      <c r="B67">
        <v>0</v>
      </c>
      <c r="C67">
        <v>0</v>
      </c>
      <c r="D67" s="13">
        <v>0</v>
      </c>
      <c r="E67">
        <v>0</v>
      </c>
      <c r="F67">
        <v>0</v>
      </c>
      <c r="G67">
        <v>1</v>
      </c>
      <c r="H67">
        <v>1</v>
      </c>
      <c r="I67" s="13">
        <v>0</v>
      </c>
      <c r="J67" s="13">
        <v>0</v>
      </c>
      <c r="K67" s="13">
        <v>0</v>
      </c>
      <c r="L67">
        <v>1</v>
      </c>
      <c r="M67" s="13">
        <v>0</v>
      </c>
      <c r="N67">
        <v>0</v>
      </c>
      <c r="O67">
        <v>0</v>
      </c>
      <c r="P67">
        <v>0</v>
      </c>
      <c r="Q67" s="13">
        <v>1</v>
      </c>
    </row>
    <row r="68" spans="1:17" x14ac:dyDescent="0.3">
      <c r="A68" t="s">
        <v>343</v>
      </c>
      <c r="B68">
        <v>0</v>
      </c>
      <c r="C68">
        <v>0</v>
      </c>
      <c r="D68" s="13">
        <v>1</v>
      </c>
      <c r="E68">
        <v>1</v>
      </c>
      <c r="F68">
        <v>0</v>
      </c>
      <c r="G68">
        <v>1</v>
      </c>
      <c r="H68">
        <v>0</v>
      </c>
      <c r="I68" s="13">
        <v>0</v>
      </c>
      <c r="J68" s="13">
        <v>0</v>
      </c>
      <c r="K68" s="13">
        <v>0</v>
      </c>
      <c r="L68">
        <v>1</v>
      </c>
      <c r="M68" s="13">
        <v>0</v>
      </c>
      <c r="N68">
        <v>0</v>
      </c>
      <c r="O68">
        <v>0</v>
      </c>
      <c r="P68">
        <v>0</v>
      </c>
      <c r="Q68" s="13">
        <v>0</v>
      </c>
    </row>
    <row r="69" spans="1:17" x14ac:dyDescent="0.3">
      <c r="A69" t="s">
        <v>344</v>
      </c>
      <c r="B69">
        <v>0</v>
      </c>
      <c r="C69">
        <v>0</v>
      </c>
      <c r="D69" s="13">
        <v>0</v>
      </c>
      <c r="E69">
        <v>0</v>
      </c>
      <c r="F69">
        <v>1</v>
      </c>
      <c r="G69">
        <v>0</v>
      </c>
      <c r="H69">
        <v>1</v>
      </c>
      <c r="I69" s="13">
        <v>1</v>
      </c>
      <c r="J69" s="13">
        <v>0</v>
      </c>
      <c r="K69" s="13">
        <v>0</v>
      </c>
      <c r="L69">
        <v>0</v>
      </c>
      <c r="M69" s="13">
        <v>0</v>
      </c>
      <c r="N69">
        <v>0</v>
      </c>
      <c r="O69">
        <v>0</v>
      </c>
      <c r="P69">
        <v>0</v>
      </c>
      <c r="Q69" s="13">
        <v>0</v>
      </c>
    </row>
    <row r="70" spans="1:17" x14ac:dyDescent="0.3">
      <c r="A70" t="s">
        <v>345</v>
      </c>
      <c r="B70">
        <v>1</v>
      </c>
      <c r="C70">
        <v>1</v>
      </c>
      <c r="D70" s="13">
        <v>0</v>
      </c>
      <c r="E70">
        <v>0</v>
      </c>
      <c r="F70">
        <v>0</v>
      </c>
      <c r="G70">
        <v>0</v>
      </c>
      <c r="H70">
        <v>0</v>
      </c>
      <c r="I70" s="13">
        <v>0</v>
      </c>
      <c r="J70" s="13">
        <v>0</v>
      </c>
      <c r="K70" s="13">
        <v>0</v>
      </c>
      <c r="L70">
        <v>0</v>
      </c>
      <c r="M70" s="13">
        <v>1</v>
      </c>
      <c r="N70">
        <v>0</v>
      </c>
      <c r="O70">
        <v>0</v>
      </c>
      <c r="P70">
        <v>1</v>
      </c>
      <c r="Q70" s="13">
        <v>0</v>
      </c>
    </row>
    <row r="71" spans="1:17" x14ac:dyDescent="0.3">
      <c r="A71" t="s">
        <v>346</v>
      </c>
      <c r="B71">
        <v>0</v>
      </c>
      <c r="C71">
        <v>0</v>
      </c>
      <c r="D71" s="13">
        <v>1</v>
      </c>
      <c r="E71">
        <v>0</v>
      </c>
      <c r="F71">
        <v>0</v>
      </c>
      <c r="G71">
        <v>0</v>
      </c>
      <c r="H71">
        <v>0</v>
      </c>
      <c r="I71" s="13">
        <v>0</v>
      </c>
      <c r="J71" s="13">
        <v>0</v>
      </c>
      <c r="K71" s="13">
        <v>1</v>
      </c>
      <c r="L71">
        <v>0</v>
      </c>
      <c r="M71" s="13">
        <v>1</v>
      </c>
      <c r="N71">
        <v>1</v>
      </c>
      <c r="O71">
        <v>0</v>
      </c>
      <c r="P71">
        <v>0</v>
      </c>
      <c r="Q71" s="13">
        <v>0</v>
      </c>
    </row>
    <row r="72" spans="1:17" x14ac:dyDescent="0.3">
      <c r="A72" t="s">
        <v>347</v>
      </c>
      <c r="B72">
        <v>0</v>
      </c>
      <c r="C72">
        <v>0</v>
      </c>
      <c r="D72" s="13">
        <v>0</v>
      </c>
      <c r="E72">
        <v>1</v>
      </c>
      <c r="F72">
        <v>0</v>
      </c>
      <c r="G72">
        <v>1</v>
      </c>
      <c r="H72">
        <v>0</v>
      </c>
      <c r="I72" s="13">
        <v>0</v>
      </c>
      <c r="J72" s="13">
        <v>1</v>
      </c>
      <c r="K72" s="13">
        <v>0</v>
      </c>
      <c r="L72">
        <v>1</v>
      </c>
      <c r="M72" s="13">
        <v>0</v>
      </c>
      <c r="N72">
        <v>0</v>
      </c>
      <c r="O72">
        <v>0</v>
      </c>
      <c r="P72">
        <v>0</v>
      </c>
      <c r="Q72" s="13">
        <v>0</v>
      </c>
    </row>
    <row r="73" spans="1:17" x14ac:dyDescent="0.3">
      <c r="A73" t="s">
        <v>348</v>
      </c>
      <c r="B73">
        <v>0</v>
      </c>
      <c r="C73">
        <v>1</v>
      </c>
      <c r="D73" s="13">
        <v>0</v>
      </c>
      <c r="E73">
        <v>0</v>
      </c>
      <c r="F73">
        <v>1</v>
      </c>
      <c r="G73">
        <v>0</v>
      </c>
      <c r="H73">
        <v>1</v>
      </c>
      <c r="I73" s="13">
        <v>1</v>
      </c>
      <c r="J73" s="13">
        <v>0</v>
      </c>
      <c r="K73" s="13">
        <v>0</v>
      </c>
      <c r="L73">
        <v>0</v>
      </c>
      <c r="M73" s="13">
        <v>0</v>
      </c>
      <c r="N73">
        <v>0</v>
      </c>
      <c r="O73">
        <v>0</v>
      </c>
      <c r="P73">
        <v>0</v>
      </c>
      <c r="Q73" s="13">
        <v>1</v>
      </c>
    </row>
    <row r="74" spans="1:17" x14ac:dyDescent="0.3">
      <c r="A74" t="s">
        <v>349</v>
      </c>
      <c r="B74">
        <v>0</v>
      </c>
      <c r="C74">
        <v>0</v>
      </c>
      <c r="D74" s="13">
        <v>0</v>
      </c>
      <c r="E74">
        <v>0</v>
      </c>
      <c r="F74">
        <v>0</v>
      </c>
      <c r="G74">
        <v>0</v>
      </c>
      <c r="H74">
        <v>0</v>
      </c>
      <c r="I74" s="13">
        <v>0</v>
      </c>
      <c r="J74" s="13">
        <v>0</v>
      </c>
      <c r="K74" s="13">
        <v>1</v>
      </c>
      <c r="L74">
        <v>1</v>
      </c>
      <c r="M74" s="13">
        <v>1</v>
      </c>
      <c r="N74">
        <v>0</v>
      </c>
      <c r="O74">
        <v>0</v>
      </c>
      <c r="P74">
        <v>0</v>
      </c>
      <c r="Q74" s="13">
        <v>0</v>
      </c>
    </row>
    <row r="75" spans="1:17" x14ac:dyDescent="0.3">
      <c r="A75" t="s">
        <v>350</v>
      </c>
      <c r="B75">
        <v>0</v>
      </c>
      <c r="C75">
        <v>0</v>
      </c>
      <c r="D75" s="13">
        <v>0</v>
      </c>
      <c r="E75">
        <v>1</v>
      </c>
      <c r="F75">
        <v>0</v>
      </c>
      <c r="G75">
        <v>1</v>
      </c>
      <c r="H75">
        <v>1</v>
      </c>
      <c r="I75" s="13">
        <v>0</v>
      </c>
      <c r="J75" s="13">
        <v>0</v>
      </c>
      <c r="K75" s="13">
        <v>0</v>
      </c>
      <c r="L75">
        <v>0</v>
      </c>
      <c r="M75" s="13">
        <v>0</v>
      </c>
      <c r="N75">
        <v>1</v>
      </c>
      <c r="O75">
        <v>0</v>
      </c>
      <c r="P75">
        <v>0</v>
      </c>
      <c r="Q75" s="13">
        <v>0</v>
      </c>
    </row>
    <row r="76" spans="1:17" x14ac:dyDescent="0.3">
      <c r="A76" t="s">
        <v>351</v>
      </c>
      <c r="B76">
        <v>1</v>
      </c>
      <c r="C76">
        <v>1</v>
      </c>
      <c r="D76" s="13">
        <v>1</v>
      </c>
      <c r="E76">
        <v>0</v>
      </c>
      <c r="F76">
        <v>0</v>
      </c>
      <c r="G76">
        <v>0</v>
      </c>
      <c r="H76">
        <v>0</v>
      </c>
      <c r="I76" s="13">
        <v>1</v>
      </c>
      <c r="J76" s="13">
        <v>0</v>
      </c>
      <c r="K76" s="13">
        <v>0</v>
      </c>
      <c r="L76">
        <v>0</v>
      </c>
      <c r="M76" s="13">
        <v>0</v>
      </c>
      <c r="N76">
        <v>0</v>
      </c>
      <c r="O76">
        <v>1</v>
      </c>
      <c r="P76">
        <v>0</v>
      </c>
      <c r="Q76" s="13">
        <v>0</v>
      </c>
    </row>
    <row r="77" spans="1:17" x14ac:dyDescent="0.3">
      <c r="A77" t="s">
        <v>352</v>
      </c>
      <c r="B77">
        <v>0</v>
      </c>
      <c r="C77">
        <v>0</v>
      </c>
      <c r="D77" s="13">
        <v>0</v>
      </c>
      <c r="E77">
        <v>1</v>
      </c>
      <c r="F77">
        <v>0</v>
      </c>
      <c r="G77">
        <v>0</v>
      </c>
      <c r="H77">
        <v>0</v>
      </c>
      <c r="I77" s="13">
        <v>1</v>
      </c>
      <c r="J77" s="13">
        <v>0</v>
      </c>
      <c r="K77" s="13">
        <v>1</v>
      </c>
      <c r="L77">
        <v>1</v>
      </c>
      <c r="M77" s="13">
        <v>0</v>
      </c>
      <c r="N77">
        <v>0</v>
      </c>
      <c r="O77">
        <v>0</v>
      </c>
      <c r="P77">
        <v>0</v>
      </c>
      <c r="Q77" s="13">
        <v>0</v>
      </c>
    </row>
    <row r="78" spans="1:17" x14ac:dyDescent="0.3">
      <c r="A78" t="s">
        <v>353</v>
      </c>
      <c r="B78">
        <v>0</v>
      </c>
      <c r="C78">
        <v>0</v>
      </c>
      <c r="D78" s="13">
        <v>1</v>
      </c>
      <c r="E78">
        <v>0</v>
      </c>
      <c r="F78">
        <v>0</v>
      </c>
      <c r="G78">
        <v>0</v>
      </c>
      <c r="H78">
        <v>0</v>
      </c>
      <c r="I78" s="13">
        <v>0</v>
      </c>
      <c r="J78" s="13">
        <v>1</v>
      </c>
      <c r="K78" s="13">
        <v>0</v>
      </c>
      <c r="L78">
        <v>0</v>
      </c>
      <c r="M78" s="13">
        <v>1</v>
      </c>
      <c r="N78">
        <v>1</v>
      </c>
      <c r="O78">
        <v>0</v>
      </c>
      <c r="P78">
        <v>0</v>
      </c>
      <c r="Q78" s="13">
        <v>0</v>
      </c>
    </row>
    <row r="79" spans="1:17" x14ac:dyDescent="0.3">
      <c r="A79" t="s">
        <v>354</v>
      </c>
      <c r="B79">
        <v>1</v>
      </c>
      <c r="C79">
        <v>1</v>
      </c>
      <c r="D79" s="13">
        <v>0</v>
      </c>
      <c r="E79">
        <v>0</v>
      </c>
      <c r="F79">
        <v>0</v>
      </c>
      <c r="G79">
        <v>0</v>
      </c>
      <c r="H79">
        <v>0</v>
      </c>
      <c r="I79" s="13">
        <v>0</v>
      </c>
      <c r="J79" s="13">
        <v>0</v>
      </c>
      <c r="K79" s="13">
        <v>0</v>
      </c>
      <c r="L79">
        <v>0</v>
      </c>
      <c r="M79" s="13">
        <v>0</v>
      </c>
      <c r="N79">
        <v>0</v>
      </c>
      <c r="O79">
        <v>0</v>
      </c>
      <c r="P79">
        <v>0</v>
      </c>
      <c r="Q79" s="13">
        <v>1</v>
      </c>
    </row>
    <row r="80" spans="1:17" x14ac:dyDescent="0.3">
      <c r="A80" t="s">
        <v>355</v>
      </c>
      <c r="B80">
        <v>1</v>
      </c>
      <c r="C80">
        <v>0</v>
      </c>
      <c r="D80" s="13">
        <v>0</v>
      </c>
      <c r="E80">
        <v>0</v>
      </c>
      <c r="F80">
        <v>0</v>
      </c>
      <c r="G80">
        <v>0</v>
      </c>
      <c r="H80">
        <v>0</v>
      </c>
      <c r="I80" s="13">
        <v>0</v>
      </c>
      <c r="J80" s="13">
        <v>1</v>
      </c>
      <c r="K80" s="13">
        <v>0</v>
      </c>
      <c r="L80">
        <v>0</v>
      </c>
      <c r="M80" s="13">
        <v>1</v>
      </c>
      <c r="N80">
        <v>0</v>
      </c>
      <c r="O80">
        <v>0</v>
      </c>
      <c r="P80">
        <v>0</v>
      </c>
      <c r="Q80" s="13">
        <v>0</v>
      </c>
    </row>
    <row r="81" spans="1:17" x14ac:dyDescent="0.3">
      <c r="A81" t="s">
        <v>356</v>
      </c>
      <c r="B81">
        <v>0</v>
      </c>
      <c r="C81">
        <v>0</v>
      </c>
      <c r="D81" s="13">
        <v>0</v>
      </c>
      <c r="E81">
        <v>0</v>
      </c>
      <c r="F81">
        <v>0</v>
      </c>
      <c r="G81">
        <v>0</v>
      </c>
      <c r="H81">
        <v>1</v>
      </c>
      <c r="I81" s="13">
        <v>1</v>
      </c>
      <c r="J81" s="13">
        <v>0</v>
      </c>
      <c r="K81" s="13">
        <v>1</v>
      </c>
      <c r="L81">
        <v>0</v>
      </c>
      <c r="M81" s="13">
        <v>0</v>
      </c>
      <c r="N81">
        <v>1</v>
      </c>
      <c r="O81">
        <v>0</v>
      </c>
      <c r="P81">
        <v>0</v>
      </c>
      <c r="Q81" s="13">
        <v>0</v>
      </c>
    </row>
    <row r="82" spans="1:17" x14ac:dyDescent="0.3">
      <c r="A82" t="s">
        <v>357</v>
      </c>
      <c r="B82">
        <v>0</v>
      </c>
      <c r="C82">
        <v>0</v>
      </c>
      <c r="D82" s="13">
        <v>0</v>
      </c>
      <c r="E82">
        <v>0</v>
      </c>
      <c r="F82">
        <v>0</v>
      </c>
      <c r="G82">
        <v>0</v>
      </c>
      <c r="H82">
        <v>0</v>
      </c>
      <c r="I82" s="13">
        <v>0</v>
      </c>
      <c r="J82" s="13">
        <v>0</v>
      </c>
      <c r="K82" s="13">
        <v>0</v>
      </c>
      <c r="L82">
        <v>1</v>
      </c>
      <c r="M82" s="13">
        <v>0</v>
      </c>
      <c r="N82">
        <v>0</v>
      </c>
      <c r="O82">
        <v>1</v>
      </c>
      <c r="P82">
        <v>1</v>
      </c>
      <c r="Q82" s="13">
        <v>1</v>
      </c>
    </row>
    <row r="83" spans="1:17" x14ac:dyDescent="0.3">
      <c r="A83" t="s">
        <v>358</v>
      </c>
      <c r="B83">
        <v>0</v>
      </c>
      <c r="C83">
        <v>1</v>
      </c>
      <c r="D83" s="13">
        <v>1</v>
      </c>
      <c r="E83">
        <v>0</v>
      </c>
      <c r="F83">
        <v>1</v>
      </c>
      <c r="G83">
        <v>0</v>
      </c>
      <c r="H83">
        <v>1</v>
      </c>
      <c r="I83" s="13">
        <v>0</v>
      </c>
      <c r="J83" s="13">
        <v>0</v>
      </c>
      <c r="K83" s="13">
        <v>0</v>
      </c>
      <c r="L83">
        <v>0</v>
      </c>
      <c r="M83" s="13">
        <v>0</v>
      </c>
      <c r="N83">
        <v>0</v>
      </c>
      <c r="O83">
        <v>0</v>
      </c>
      <c r="P83">
        <v>0</v>
      </c>
      <c r="Q83" s="13">
        <v>0</v>
      </c>
    </row>
    <row r="84" spans="1:17" x14ac:dyDescent="0.3">
      <c r="A84" t="s">
        <v>359</v>
      </c>
      <c r="B84">
        <v>0</v>
      </c>
      <c r="C84">
        <v>0</v>
      </c>
      <c r="D84" s="13">
        <v>0</v>
      </c>
      <c r="E84">
        <v>1</v>
      </c>
      <c r="F84">
        <v>0</v>
      </c>
      <c r="G84">
        <v>1</v>
      </c>
      <c r="H84">
        <v>0</v>
      </c>
      <c r="I84" s="13">
        <v>1</v>
      </c>
      <c r="J84" s="13">
        <v>1</v>
      </c>
      <c r="K84" s="13">
        <v>0</v>
      </c>
      <c r="L84">
        <v>0</v>
      </c>
      <c r="M84" s="13">
        <v>0</v>
      </c>
      <c r="N84">
        <v>0</v>
      </c>
      <c r="O84">
        <v>0</v>
      </c>
      <c r="P84">
        <v>0</v>
      </c>
      <c r="Q84" s="13">
        <v>0</v>
      </c>
    </row>
    <row r="85" spans="1:17" x14ac:dyDescent="0.3">
      <c r="A85" t="s">
        <v>360</v>
      </c>
      <c r="B85">
        <v>0</v>
      </c>
      <c r="C85">
        <v>0</v>
      </c>
      <c r="D85" s="13">
        <v>0</v>
      </c>
      <c r="E85">
        <v>0</v>
      </c>
      <c r="F85">
        <v>0</v>
      </c>
      <c r="G85">
        <v>0</v>
      </c>
      <c r="H85">
        <v>0</v>
      </c>
      <c r="I85" s="13">
        <v>0</v>
      </c>
      <c r="J85" s="13">
        <v>0</v>
      </c>
      <c r="K85" s="13">
        <v>1</v>
      </c>
      <c r="L85">
        <v>1</v>
      </c>
      <c r="M85" s="13">
        <v>0</v>
      </c>
      <c r="N85">
        <v>1</v>
      </c>
      <c r="O85">
        <v>1</v>
      </c>
      <c r="P85">
        <v>1</v>
      </c>
      <c r="Q85" s="13">
        <v>0</v>
      </c>
    </row>
    <row r="86" spans="1:17" x14ac:dyDescent="0.3">
      <c r="A86" t="s">
        <v>361</v>
      </c>
      <c r="B86">
        <v>0</v>
      </c>
      <c r="C86">
        <v>1</v>
      </c>
      <c r="D86" s="13">
        <v>0</v>
      </c>
      <c r="E86">
        <v>0</v>
      </c>
      <c r="F86">
        <v>0</v>
      </c>
      <c r="G86">
        <v>0</v>
      </c>
      <c r="H86">
        <v>0</v>
      </c>
      <c r="I86" s="13">
        <v>0</v>
      </c>
      <c r="J86" s="13">
        <v>0</v>
      </c>
      <c r="K86" s="13">
        <v>1</v>
      </c>
      <c r="L86">
        <v>0</v>
      </c>
      <c r="M86" s="13">
        <v>1</v>
      </c>
      <c r="N86">
        <v>0</v>
      </c>
      <c r="O86">
        <v>0</v>
      </c>
      <c r="P86">
        <v>0</v>
      </c>
      <c r="Q86" s="13">
        <v>0</v>
      </c>
    </row>
    <row r="87" spans="1:17" x14ac:dyDescent="0.3">
      <c r="A87" t="s">
        <v>362</v>
      </c>
      <c r="B87">
        <v>1</v>
      </c>
      <c r="C87">
        <v>0</v>
      </c>
      <c r="D87" s="13">
        <v>0</v>
      </c>
      <c r="E87">
        <v>1</v>
      </c>
      <c r="F87">
        <v>0</v>
      </c>
      <c r="G87">
        <v>0</v>
      </c>
      <c r="H87">
        <v>0</v>
      </c>
      <c r="I87" s="13">
        <v>0</v>
      </c>
      <c r="J87" s="13">
        <v>0</v>
      </c>
      <c r="K87" s="13">
        <v>0</v>
      </c>
      <c r="L87">
        <v>1</v>
      </c>
      <c r="M87" s="13">
        <v>0</v>
      </c>
      <c r="N87">
        <v>1</v>
      </c>
      <c r="O87">
        <v>0</v>
      </c>
      <c r="P87">
        <v>0</v>
      </c>
      <c r="Q87" s="13">
        <v>0</v>
      </c>
    </row>
    <row r="88" spans="1:17" x14ac:dyDescent="0.3">
      <c r="A88" t="s">
        <v>363</v>
      </c>
      <c r="B88">
        <v>0</v>
      </c>
      <c r="C88">
        <v>0</v>
      </c>
      <c r="D88" s="13">
        <v>1</v>
      </c>
      <c r="E88">
        <v>0</v>
      </c>
      <c r="F88">
        <v>0</v>
      </c>
      <c r="G88">
        <v>1</v>
      </c>
      <c r="H88">
        <v>1</v>
      </c>
      <c r="I88" s="13">
        <v>1</v>
      </c>
      <c r="J88" s="13">
        <v>0</v>
      </c>
      <c r="K88" s="13">
        <v>0</v>
      </c>
      <c r="L88">
        <v>0</v>
      </c>
      <c r="M88" s="13">
        <v>0</v>
      </c>
      <c r="N88">
        <v>0</v>
      </c>
      <c r="O88">
        <v>1</v>
      </c>
      <c r="P88">
        <v>0</v>
      </c>
      <c r="Q88" s="13">
        <v>0</v>
      </c>
    </row>
    <row r="89" spans="1:17" x14ac:dyDescent="0.3">
      <c r="A89" t="s">
        <v>364</v>
      </c>
      <c r="B89">
        <v>0</v>
      </c>
      <c r="C89">
        <v>0</v>
      </c>
      <c r="D89" s="13">
        <v>0</v>
      </c>
      <c r="E89">
        <v>1</v>
      </c>
      <c r="F89">
        <v>0</v>
      </c>
      <c r="G89">
        <v>0</v>
      </c>
      <c r="H89">
        <v>0</v>
      </c>
      <c r="I89" s="13">
        <v>0</v>
      </c>
      <c r="J89" s="13">
        <v>0</v>
      </c>
      <c r="K89" s="13">
        <v>1</v>
      </c>
      <c r="L89">
        <v>0</v>
      </c>
      <c r="M89" s="13">
        <v>1</v>
      </c>
      <c r="N89">
        <v>0</v>
      </c>
      <c r="O89">
        <v>0</v>
      </c>
      <c r="P89">
        <v>1</v>
      </c>
      <c r="Q89" s="13">
        <v>0</v>
      </c>
    </row>
    <row r="90" spans="1:17" x14ac:dyDescent="0.3">
      <c r="A90" t="s">
        <v>365</v>
      </c>
      <c r="B90">
        <v>0</v>
      </c>
      <c r="C90">
        <v>0</v>
      </c>
      <c r="D90" s="13">
        <v>0</v>
      </c>
      <c r="E90">
        <v>0</v>
      </c>
      <c r="F90">
        <v>1</v>
      </c>
      <c r="G90">
        <v>0</v>
      </c>
      <c r="H90">
        <v>0</v>
      </c>
      <c r="I90" s="13">
        <v>0</v>
      </c>
      <c r="J90" s="13">
        <v>1</v>
      </c>
      <c r="K90" s="13">
        <v>0</v>
      </c>
      <c r="L90">
        <v>1</v>
      </c>
      <c r="M90" s="13">
        <v>0</v>
      </c>
      <c r="N90">
        <v>1</v>
      </c>
      <c r="O90">
        <v>0</v>
      </c>
      <c r="P90">
        <v>0</v>
      </c>
      <c r="Q90" s="13">
        <v>0</v>
      </c>
    </row>
    <row r="91" spans="1:17" x14ac:dyDescent="0.3">
      <c r="A91" t="s">
        <v>366</v>
      </c>
      <c r="B91">
        <v>0</v>
      </c>
      <c r="C91">
        <v>1</v>
      </c>
      <c r="D91" s="13">
        <v>0</v>
      </c>
      <c r="E91">
        <v>0</v>
      </c>
      <c r="F91">
        <v>0</v>
      </c>
      <c r="G91">
        <v>1</v>
      </c>
      <c r="H91">
        <v>1</v>
      </c>
      <c r="I91" s="13">
        <v>1</v>
      </c>
      <c r="J91" s="13">
        <v>0</v>
      </c>
      <c r="K91" s="13">
        <v>0</v>
      </c>
      <c r="L91">
        <v>0</v>
      </c>
      <c r="M91" s="13">
        <v>0</v>
      </c>
      <c r="N91">
        <v>0</v>
      </c>
      <c r="O91">
        <v>0</v>
      </c>
      <c r="P91">
        <v>0</v>
      </c>
      <c r="Q91" s="13">
        <v>1</v>
      </c>
    </row>
    <row r="92" spans="1:17" x14ac:dyDescent="0.3">
      <c r="A92" t="s">
        <v>394</v>
      </c>
      <c r="B92">
        <v>0</v>
      </c>
      <c r="C92">
        <v>0</v>
      </c>
      <c r="D92" s="13">
        <v>0</v>
      </c>
      <c r="E92">
        <v>0</v>
      </c>
      <c r="F92">
        <v>1</v>
      </c>
      <c r="G92">
        <v>0</v>
      </c>
      <c r="H92">
        <v>0</v>
      </c>
      <c r="I92" s="13">
        <v>1</v>
      </c>
      <c r="J92" s="13">
        <v>0</v>
      </c>
      <c r="K92" s="13">
        <v>0</v>
      </c>
      <c r="L92">
        <v>0</v>
      </c>
      <c r="M92" s="13">
        <v>0</v>
      </c>
      <c r="N92">
        <v>0</v>
      </c>
      <c r="O92">
        <v>0</v>
      </c>
      <c r="P92">
        <v>0</v>
      </c>
      <c r="Q92" s="13">
        <v>0</v>
      </c>
    </row>
    <row r="93" spans="1:17" x14ac:dyDescent="0.3">
      <c r="A93" t="s">
        <v>395</v>
      </c>
      <c r="B93">
        <v>0</v>
      </c>
      <c r="C93">
        <v>0</v>
      </c>
      <c r="D93" s="13">
        <v>1</v>
      </c>
      <c r="E93">
        <v>1</v>
      </c>
      <c r="F93">
        <v>0</v>
      </c>
      <c r="G93">
        <v>0</v>
      </c>
      <c r="H93">
        <v>0</v>
      </c>
      <c r="I93" s="13">
        <v>0</v>
      </c>
      <c r="J93" s="13">
        <v>0</v>
      </c>
      <c r="K93" s="13">
        <v>0</v>
      </c>
      <c r="L93">
        <v>1</v>
      </c>
      <c r="M93" s="13">
        <v>1</v>
      </c>
      <c r="N93">
        <v>1</v>
      </c>
      <c r="O93">
        <v>1</v>
      </c>
      <c r="P93">
        <v>0</v>
      </c>
      <c r="Q93" s="13">
        <v>0</v>
      </c>
    </row>
    <row r="94" spans="1:17" x14ac:dyDescent="0.3">
      <c r="A94" t="s">
        <v>396</v>
      </c>
      <c r="B94">
        <v>1</v>
      </c>
      <c r="C94">
        <v>1</v>
      </c>
      <c r="D94" s="13">
        <v>0</v>
      </c>
      <c r="E94">
        <v>0</v>
      </c>
      <c r="F94">
        <v>0</v>
      </c>
      <c r="G94">
        <v>0</v>
      </c>
      <c r="H94">
        <v>0</v>
      </c>
      <c r="I94" s="13">
        <v>0</v>
      </c>
      <c r="J94" s="13">
        <v>1</v>
      </c>
      <c r="K94" s="13">
        <v>1</v>
      </c>
      <c r="L94">
        <v>0</v>
      </c>
      <c r="M94" s="13">
        <v>0</v>
      </c>
      <c r="N94">
        <v>0</v>
      </c>
      <c r="O94">
        <v>0</v>
      </c>
      <c r="P94">
        <v>0</v>
      </c>
      <c r="Q94" s="13">
        <v>0</v>
      </c>
    </row>
    <row r="95" spans="1:17" x14ac:dyDescent="0.3">
      <c r="A95" t="s">
        <v>391</v>
      </c>
      <c r="B95">
        <v>0</v>
      </c>
      <c r="C95">
        <v>0</v>
      </c>
      <c r="D95" s="13">
        <v>1</v>
      </c>
      <c r="E95">
        <v>0</v>
      </c>
      <c r="F95">
        <v>0</v>
      </c>
      <c r="G95">
        <v>0</v>
      </c>
      <c r="H95">
        <v>0</v>
      </c>
      <c r="I95" s="13">
        <v>0</v>
      </c>
      <c r="J95" s="13">
        <v>0</v>
      </c>
      <c r="K95" s="13">
        <v>0</v>
      </c>
      <c r="L95">
        <v>1</v>
      </c>
      <c r="M95" s="13">
        <v>1</v>
      </c>
      <c r="N95">
        <v>1</v>
      </c>
      <c r="O95">
        <v>0</v>
      </c>
      <c r="P95">
        <v>0</v>
      </c>
      <c r="Q95" s="13">
        <v>0</v>
      </c>
    </row>
    <row r="96" spans="1:17" x14ac:dyDescent="0.3">
      <c r="A96" t="s">
        <v>392</v>
      </c>
      <c r="B96">
        <v>1</v>
      </c>
      <c r="C96">
        <v>0</v>
      </c>
      <c r="D96" s="13">
        <v>0</v>
      </c>
      <c r="E96">
        <v>0</v>
      </c>
      <c r="F96">
        <v>0</v>
      </c>
      <c r="G96">
        <v>1</v>
      </c>
      <c r="H96">
        <v>0</v>
      </c>
      <c r="I96" s="13">
        <v>1</v>
      </c>
      <c r="J96" s="13">
        <v>0</v>
      </c>
      <c r="K96" s="13">
        <v>1</v>
      </c>
      <c r="L96">
        <v>0</v>
      </c>
      <c r="M96" s="13">
        <v>0</v>
      </c>
      <c r="N96">
        <v>0</v>
      </c>
      <c r="O96">
        <v>0</v>
      </c>
      <c r="P96">
        <v>0</v>
      </c>
      <c r="Q96" s="13">
        <v>0</v>
      </c>
    </row>
    <row r="97" spans="1:17" x14ac:dyDescent="0.3">
      <c r="A97" t="s">
        <v>393</v>
      </c>
      <c r="B97">
        <v>0</v>
      </c>
      <c r="C97">
        <v>1</v>
      </c>
      <c r="D97" s="13">
        <v>0</v>
      </c>
      <c r="E97">
        <v>0</v>
      </c>
      <c r="F97">
        <v>0</v>
      </c>
      <c r="G97">
        <v>0</v>
      </c>
      <c r="H97">
        <v>1</v>
      </c>
      <c r="I97" s="13">
        <v>0</v>
      </c>
      <c r="J97" s="13">
        <v>0</v>
      </c>
      <c r="K97" s="13">
        <v>0</v>
      </c>
      <c r="L97">
        <v>0</v>
      </c>
      <c r="M97" s="13">
        <v>0</v>
      </c>
      <c r="N97">
        <v>0</v>
      </c>
      <c r="O97">
        <v>1</v>
      </c>
      <c r="P97">
        <v>0</v>
      </c>
      <c r="Q97" s="13">
        <v>0</v>
      </c>
    </row>
    <row r="98" spans="1:17" x14ac:dyDescent="0.3">
      <c r="A98" t="s">
        <v>388</v>
      </c>
      <c r="B98">
        <v>0</v>
      </c>
      <c r="C98">
        <v>0</v>
      </c>
      <c r="D98" s="13">
        <v>1</v>
      </c>
      <c r="E98">
        <v>0</v>
      </c>
      <c r="F98">
        <v>0</v>
      </c>
      <c r="G98">
        <v>0</v>
      </c>
      <c r="H98">
        <v>0</v>
      </c>
      <c r="I98" s="13">
        <v>0</v>
      </c>
      <c r="J98" s="13">
        <v>1</v>
      </c>
      <c r="K98" s="13">
        <v>0</v>
      </c>
      <c r="L98">
        <v>0</v>
      </c>
      <c r="M98" s="13">
        <v>1</v>
      </c>
      <c r="N98">
        <v>0</v>
      </c>
      <c r="O98">
        <v>0</v>
      </c>
      <c r="P98">
        <v>0</v>
      </c>
      <c r="Q98" s="13">
        <v>0</v>
      </c>
    </row>
    <row r="99" spans="1:17" x14ac:dyDescent="0.3">
      <c r="A99" t="s">
        <v>389</v>
      </c>
      <c r="B99">
        <v>1</v>
      </c>
      <c r="C99">
        <v>0</v>
      </c>
      <c r="D99" s="13">
        <v>0</v>
      </c>
      <c r="E99">
        <v>0</v>
      </c>
      <c r="F99">
        <v>0</v>
      </c>
      <c r="G99">
        <v>1</v>
      </c>
      <c r="H99">
        <v>0</v>
      </c>
      <c r="I99" s="13">
        <v>0</v>
      </c>
      <c r="J99" s="13">
        <v>0</v>
      </c>
      <c r="K99" s="13">
        <v>1</v>
      </c>
      <c r="L99">
        <v>0</v>
      </c>
      <c r="M99" s="13">
        <v>0</v>
      </c>
      <c r="N99">
        <v>0</v>
      </c>
      <c r="O99">
        <v>0</v>
      </c>
      <c r="P99">
        <v>0</v>
      </c>
      <c r="Q99" s="13">
        <v>0</v>
      </c>
    </row>
    <row r="100" spans="1:17" x14ac:dyDescent="0.3">
      <c r="A100" t="s">
        <v>390</v>
      </c>
      <c r="B100">
        <v>0</v>
      </c>
      <c r="C100">
        <v>1</v>
      </c>
      <c r="D100" s="13">
        <v>0</v>
      </c>
      <c r="E100">
        <v>0</v>
      </c>
      <c r="F100">
        <v>0</v>
      </c>
      <c r="G100">
        <v>0</v>
      </c>
      <c r="H100">
        <v>1</v>
      </c>
      <c r="I100" s="13">
        <v>1</v>
      </c>
      <c r="J100" s="13">
        <v>0</v>
      </c>
      <c r="K100" s="13">
        <v>0</v>
      </c>
      <c r="L100">
        <v>0</v>
      </c>
      <c r="M100" s="13">
        <v>0</v>
      </c>
      <c r="N100">
        <v>0</v>
      </c>
      <c r="O100">
        <v>1</v>
      </c>
      <c r="P100">
        <v>0</v>
      </c>
      <c r="Q100" s="13">
        <v>0</v>
      </c>
    </row>
    <row r="101" spans="1:17" x14ac:dyDescent="0.3">
      <c r="A101" t="s">
        <v>385</v>
      </c>
      <c r="B101">
        <v>0</v>
      </c>
      <c r="C101">
        <v>0</v>
      </c>
      <c r="D101" s="13">
        <v>1</v>
      </c>
      <c r="E101">
        <v>0</v>
      </c>
      <c r="F101">
        <v>0</v>
      </c>
      <c r="G101">
        <v>0</v>
      </c>
      <c r="H101">
        <v>0</v>
      </c>
      <c r="I101" s="13">
        <v>0</v>
      </c>
      <c r="J101" s="13">
        <v>0</v>
      </c>
      <c r="K101" s="13">
        <v>0</v>
      </c>
      <c r="L101">
        <v>1</v>
      </c>
      <c r="M101" s="13">
        <v>1</v>
      </c>
      <c r="N101">
        <v>1</v>
      </c>
      <c r="O101">
        <v>0</v>
      </c>
      <c r="P101">
        <v>0</v>
      </c>
      <c r="Q101" s="13">
        <v>0</v>
      </c>
    </row>
    <row r="102" spans="1:17" x14ac:dyDescent="0.3">
      <c r="A102" t="s">
        <v>386</v>
      </c>
      <c r="B102">
        <v>1</v>
      </c>
      <c r="C102">
        <v>0</v>
      </c>
      <c r="D102" s="13">
        <v>0</v>
      </c>
      <c r="E102">
        <v>0</v>
      </c>
      <c r="F102">
        <v>0</v>
      </c>
      <c r="G102">
        <v>1</v>
      </c>
      <c r="H102">
        <v>1</v>
      </c>
      <c r="I102" s="13">
        <v>1</v>
      </c>
      <c r="J102" s="13">
        <v>0</v>
      </c>
      <c r="K102" s="13">
        <v>0</v>
      </c>
      <c r="L102">
        <v>0</v>
      </c>
      <c r="M102" s="13">
        <v>0</v>
      </c>
      <c r="N102">
        <v>0</v>
      </c>
      <c r="O102">
        <v>0</v>
      </c>
      <c r="P102">
        <v>0</v>
      </c>
      <c r="Q102" s="13">
        <v>0</v>
      </c>
    </row>
    <row r="103" spans="1:17" x14ac:dyDescent="0.3">
      <c r="A103" t="s">
        <v>387</v>
      </c>
      <c r="B103">
        <v>0</v>
      </c>
      <c r="C103">
        <v>1</v>
      </c>
      <c r="D103" s="13">
        <v>0</v>
      </c>
      <c r="E103">
        <v>0</v>
      </c>
      <c r="F103">
        <v>0</v>
      </c>
      <c r="G103">
        <v>0</v>
      </c>
      <c r="H103">
        <v>0</v>
      </c>
      <c r="I103" s="13">
        <v>0</v>
      </c>
      <c r="J103" s="13">
        <v>0</v>
      </c>
      <c r="K103" s="13">
        <v>1</v>
      </c>
      <c r="L103">
        <v>0</v>
      </c>
      <c r="M103" s="13">
        <v>0</v>
      </c>
      <c r="N103">
        <v>0</v>
      </c>
      <c r="O103">
        <v>1</v>
      </c>
      <c r="P103">
        <v>0</v>
      </c>
      <c r="Q103" s="13">
        <v>0</v>
      </c>
    </row>
    <row r="104" spans="1:17" x14ac:dyDescent="0.3">
      <c r="A104" t="s">
        <v>382</v>
      </c>
      <c r="B104">
        <v>0</v>
      </c>
      <c r="C104">
        <v>0</v>
      </c>
      <c r="D104" s="13">
        <v>0</v>
      </c>
      <c r="E104">
        <v>1</v>
      </c>
      <c r="F104">
        <v>0</v>
      </c>
      <c r="G104">
        <v>1</v>
      </c>
      <c r="H104">
        <v>0</v>
      </c>
      <c r="I104" s="13">
        <v>1</v>
      </c>
      <c r="J104" s="13">
        <v>1</v>
      </c>
      <c r="K104" s="13">
        <v>0</v>
      </c>
      <c r="L104">
        <v>0</v>
      </c>
      <c r="M104" s="13">
        <v>0</v>
      </c>
      <c r="N104">
        <v>0</v>
      </c>
      <c r="O104">
        <v>0</v>
      </c>
      <c r="P104">
        <v>0</v>
      </c>
      <c r="Q104" s="13">
        <v>0</v>
      </c>
    </row>
    <row r="105" spans="1:17" x14ac:dyDescent="0.3">
      <c r="A105" t="s">
        <v>383</v>
      </c>
      <c r="B105">
        <v>0</v>
      </c>
      <c r="C105">
        <v>0</v>
      </c>
      <c r="D105" s="13">
        <v>0</v>
      </c>
      <c r="E105">
        <v>0</v>
      </c>
      <c r="F105">
        <v>1</v>
      </c>
      <c r="G105">
        <v>0</v>
      </c>
      <c r="H105">
        <v>1</v>
      </c>
      <c r="I105" s="13">
        <v>0</v>
      </c>
      <c r="J105" s="13">
        <v>0</v>
      </c>
      <c r="K105" s="13">
        <v>0</v>
      </c>
      <c r="L105">
        <v>0</v>
      </c>
      <c r="M105" s="13">
        <v>0</v>
      </c>
      <c r="N105">
        <v>0</v>
      </c>
      <c r="O105">
        <v>0</v>
      </c>
      <c r="P105">
        <v>1</v>
      </c>
      <c r="Q105" s="13">
        <v>1</v>
      </c>
    </row>
    <row r="106" spans="1:17" x14ac:dyDescent="0.3">
      <c r="A106" t="s">
        <v>384</v>
      </c>
      <c r="B106">
        <v>1</v>
      </c>
      <c r="C106">
        <v>1</v>
      </c>
      <c r="D106" s="13">
        <v>0</v>
      </c>
      <c r="E106">
        <v>0</v>
      </c>
      <c r="F106">
        <v>0</v>
      </c>
      <c r="G106">
        <v>0</v>
      </c>
      <c r="H106">
        <v>0</v>
      </c>
      <c r="I106" s="13">
        <v>0</v>
      </c>
      <c r="J106" s="13">
        <v>0</v>
      </c>
      <c r="K106" s="13">
        <v>0</v>
      </c>
      <c r="L106">
        <v>0</v>
      </c>
      <c r="M106" s="13">
        <v>0</v>
      </c>
      <c r="N106">
        <v>0</v>
      </c>
      <c r="O106">
        <v>1</v>
      </c>
      <c r="P106">
        <v>0</v>
      </c>
      <c r="Q106" s="13">
        <v>0</v>
      </c>
    </row>
    <row r="107" spans="1:17" x14ac:dyDescent="0.3">
      <c r="A107" t="s">
        <v>379</v>
      </c>
      <c r="B107">
        <v>0</v>
      </c>
      <c r="C107">
        <v>0</v>
      </c>
      <c r="D107" s="13">
        <v>1</v>
      </c>
      <c r="E107">
        <v>0</v>
      </c>
      <c r="F107">
        <v>0</v>
      </c>
      <c r="G107">
        <v>0</v>
      </c>
      <c r="H107">
        <v>0</v>
      </c>
      <c r="I107" s="13">
        <v>0</v>
      </c>
      <c r="J107" s="13">
        <v>0</v>
      </c>
      <c r="K107" s="13">
        <v>0</v>
      </c>
      <c r="L107">
        <v>1</v>
      </c>
      <c r="M107" s="13">
        <v>1</v>
      </c>
      <c r="N107">
        <v>1</v>
      </c>
      <c r="O107">
        <v>0</v>
      </c>
      <c r="P107">
        <v>0</v>
      </c>
      <c r="Q107" s="13">
        <v>0</v>
      </c>
    </row>
    <row r="108" spans="1:17" x14ac:dyDescent="0.3">
      <c r="A108" t="s">
        <v>380</v>
      </c>
      <c r="B108">
        <v>1</v>
      </c>
      <c r="C108">
        <v>0</v>
      </c>
      <c r="D108" s="13">
        <v>0</v>
      </c>
      <c r="E108">
        <v>1</v>
      </c>
      <c r="F108">
        <v>0</v>
      </c>
      <c r="G108">
        <v>0</v>
      </c>
      <c r="H108">
        <v>0</v>
      </c>
      <c r="I108" s="13">
        <v>0</v>
      </c>
      <c r="J108" s="13">
        <v>0</v>
      </c>
      <c r="K108" s="13">
        <v>1</v>
      </c>
      <c r="L108">
        <v>0</v>
      </c>
      <c r="M108" s="13">
        <v>0</v>
      </c>
      <c r="N108">
        <v>0</v>
      </c>
      <c r="O108">
        <v>0</v>
      </c>
      <c r="P108">
        <v>0</v>
      </c>
      <c r="Q108" s="13">
        <v>0</v>
      </c>
    </row>
    <row r="109" spans="1:17" x14ac:dyDescent="0.3">
      <c r="A109" t="s">
        <v>381</v>
      </c>
      <c r="B109">
        <v>0</v>
      </c>
      <c r="C109">
        <v>0</v>
      </c>
      <c r="D109" s="13">
        <v>0</v>
      </c>
      <c r="E109">
        <v>0</v>
      </c>
      <c r="F109">
        <v>1</v>
      </c>
      <c r="G109">
        <v>1</v>
      </c>
      <c r="H109">
        <v>1</v>
      </c>
      <c r="I109" s="13">
        <v>0</v>
      </c>
      <c r="J109" s="13">
        <v>0</v>
      </c>
      <c r="K109" s="13">
        <v>0</v>
      </c>
      <c r="L109">
        <v>0</v>
      </c>
      <c r="M109" s="13">
        <v>0</v>
      </c>
      <c r="N109">
        <v>0</v>
      </c>
      <c r="O109">
        <v>1</v>
      </c>
      <c r="P109">
        <v>0</v>
      </c>
      <c r="Q109" s="13">
        <v>0</v>
      </c>
    </row>
    <row r="110" spans="1:17" x14ac:dyDescent="0.3">
      <c r="A110" t="s">
        <v>376</v>
      </c>
      <c r="B110">
        <v>0</v>
      </c>
      <c r="C110">
        <v>0</v>
      </c>
      <c r="D110" s="13">
        <v>1</v>
      </c>
      <c r="E110">
        <v>0</v>
      </c>
      <c r="F110">
        <v>0</v>
      </c>
      <c r="G110">
        <v>0</v>
      </c>
      <c r="H110">
        <v>0</v>
      </c>
      <c r="I110" s="13">
        <v>0</v>
      </c>
      <c r="J110" s="13">
        <v>0</v>
      </c>
      <c r="K110" s="13">
        <v>0</v>
      </c>
      <c r="L110">
        <v>1</v>
      </c>
      <c r="M110" s="13">
        <v>1</v>
      </c>
      <c r="N110">
        <v>1</v>
      </c>
      <c r="O110">
        <v>0</v>
      </c>
      <c r="P110">
        <v>0</v>
      </c>
      <c r="Q110" s="13">
        <v>0</v>
      </c>
    </row>
    <row r="111" spans="1:17" x14ac:dyDescent="0.3">
      <c r="A111" t="s">
        <v>377</v>
      </c>
      <c r="B111">
        <v>0</v>
      </c>
      <c r="C111">
        <v>0</v>
      </c>
      <c r="D111" s="13">
        <v>0</v>
      </c>
      <c r="E111">
        <v>1</v>
      </c>
      <c r="F111">
        <v>0</v>
      </c>
      <c r="G111">
        <v>0</v>
      </c>
      <c r="H111">
        <v>1</v>
      </c>
      <c r="I111" s="13">
        <v>0</v>
      </c>
      <c r="J111" s="13">
        <v>0</v>
      </c>
      <c r="K111" s="13">
        <v>1</v>
      </c>
      <c r="L111">
        <v>0</v>
      </c>
      <c r="M111" s="13">
        <v>0</v>
      </c>
      <c r="N111">
        <v>0</v>
      </c>
      <c r="O111">
        <v>0</v>
      </c>
      <c r="P111">
        <v>0</v>
      </c>
      <c r="Q111" s="13">
        <v>0</v>
      </c>
    </row>
    <row r="112" spans="1:17" x14ac:dyDescent="0.3">
      <c r="A112" t="s">
        <v>378</v>
      </c>
      <c r="B112">
        <v>1</v>
      </c>
      <c r="C112">
        <v>0</v>
      </c>
      <c r="D112" s="13">
        <v>0</v>
      </c>
      <c r="E112">
        <v>0</v>
      </c>
      <c r="F112">
        <v>1</v>
      </c>
      <c r="G112">
        <v>1</v>
      </c>
      <c r="H112">
        <v>0</v>
      </c>
      <c r="I112" s="13">
        <v>0</v>
      </c>
      <c r="J112" s="13">
        <v>0</v>
      </c>
      <c r="K112" s="13">
        <v>0</v>
      </c>
      <c r="L112">
        <v>0</v>
      </c>
      <c r="M112" s="13">
        <v>0</v>
      </c>
      <c r="N112">
        <v>0</v>
      </c>
      <c r="O112">
        <v>1</v>
      </c>
      <c r="P112">
        <v>0</v>
      </c>
      <c r="Q112" s="13">
        <v>0</v>
      </c>
    </row>
    <row r="113" spans="1:17" x14ac:dyDescent="0.3">
      <c r="A113" t="s">
        <v>373</v>
      </c>
      <c r="B113">
        <v>1</v>
      </c>
      <c r="C113">
        <v>0</v>
      </c>
      <c r="D113" s="13">
        <v>0</v>
      </c>
      <c r="E113">
        <v>0</v>
      </c>
      <c r="F113">
        <v>0</v>
      </c>
      <c r="G113">
        <v>1</v>
      </c>
      <c r="H113">
        <v>1</v>
      </c>
      <c r="I113" s="13">
        <v>0</v>
      </c>
      <c r="J113" s="13">
        <v>1</v>
      </c>
      <c r="K113" s="13">
        <v>0</v>
      </c>
      <c r="L113">
        <v>0</v>
      </c>
      <c r="M113" s="13">
        <v>0</v>
      </c>
      <c r="N113">
        <v>0</v>
      </c>
      <c r="O113">
        <v>0</v>
      </c>
      <c r="P113">
        <v>0</v>
      </c>
      <c r="Q113" s="13">
        <v>0</v>
      </c>
    </row>
    <row r="114" spans="1:17" x14ac:dyDescent="0.3">
      <c r="A114" t="s">
        <v>374</v>
      </c>
      <c r="B114">
        <v>0</v>
      </c>
      <c r="C114">
        <v>0</v>
      </c>
      <c r="D114" s="13">
        <v>0</v>
      </c>
      <c r="E114">
        <v>0</v>
      </c>
      <c r="F114">
        <v>1</v>
      </c>
      <c r="G114">
        <v>0</v>
      </c>
      <c r="H114">
        <v>0</v>
      </c>
      <c r="I114" s="13">
        <v>0</v>
      </c>
      <c r="J114" s="13">
        <v>0</v>
      </c>
      <c r="K114" s="13">
        <v>0</v>
      </c>
      <c r="L114">
        <v>0</v>
      </c>
      <c r="M114" s="13">
        <v>1</v>
      </c>
      <c r="N114">
        <v>0</v>
      </c>
      <c r="O114">
        <v>1</v>
      </c>
      <c r="P114">
        <v>0</v>
      </c>
      <c r="Q114" s="13">
        <v>0</v>
      </c>
    </row>
    <row r="115" spans="1:17" x14ac:dyDescent="0.3">
      <c r="A115" t="s">
        <v>375</v>
      </c>
      <c r="B115">
        <v>0</v>
      </c>
      <c r="C115">
        <v>0</v>
      </c>
      <c r="D115" s="13">
        <v>0</v>
      </c>
      <c r="E115">
        <v>0</v>
      </c>
      <c r="F115">
        <v>0</v>
      </c>
      <c r="G115">
        <v>0</v>
      </c>
      <c r="H115">
        <v>0</v>
      </c>
      <c r="I115" s="13">
        <v>0</v>
      </c>
      <c r="J115" s="13">
        <v>0</v>
      </c>
      <c r="K115" s="13">
        <v>1</v>
      </c>
      <c r="L115">
        <v>1</v>
      </c>
      <c r="M115" s="13">
        <v>0</v>
      </c>
      <c r="N115">
        <v>1</v>
      </c>
      <c r="O115">
        <v>0</v>
      </c>
      <c r="P115">
        <v>1</v>
      </c>
      <c r="Q115" s="13">
        <v>1</v>
      </c>
    </row>
    <row r="116" spans="1:17" x14ac:dyDescent="0.3">
      <c r="A116" t="s">
        <v>370</v>
      </c>
      <c r="B116">
        <v>0</v>
      </c>
      <c r="C116">
        <v>0</v>
      </c>
      <c r="D116" s="13">
        <v>1</v>
      </c>
      <c r="E116">
        <v>0</v>
      </c>
      <c r="F116">
        <v>0</v>
      </c>
      <c r="G116">
        <v>0</v>
      </c>
      <c r="H116">
        <v>0</v>
      </c>
      <c r="I116" s="13">
        <v>0</v>
      </c>
      <c r="J116" s="13">
        <v>0</v>
      </c>
      <c r="K116" s="13">
        <v>0</v>
      </c>
      <c r="L116">
        <v>1</v>
      </c>
      <c r="M116" s="13">
        <v>1</v>
      </c>
      <c r="N116">
        <v>1</v>
      </c>
      <c r="O116">
        <v>0</v>
      </c>
      <c r="P116">
        <v>0</v>
      </c>
      <c r="Q116" s="13">
        <v>0</v>
      </c>
    </row>
    <row r="117" spans="1:17" x14ac:dyDescent="0.3">
      <c r="A117" t="s">
        <v>371</v>
      </c>
      <c r="B117">
        <v>1</v>
      </c>
      <c r="C117">
        <v>0</v>
      </c>
      <c r="D117" s="13">
        <v>0</v>
      </c>
      <c r="E117">
        <v>1</v>
      </c>
      <c r="F117">
        <v>0</v>
      </c>
      <c r="G117">
        <v>0</v>
      </c>
      <c r="H117">
        <v>0</v>
      </c>
      <c r="I117" s="13">
        <v>0</v>
      </c>
      <c r="J117" s="13">
        <v>0</v>
      </c>
      <c r="K117" s="13">
        <v>1</v>
      </c>
      <c r="L117">
        <v>0</v>
      </c>
      <c r="M117" s="13">
        <v>0</v>
      </c>
      <c r="N117">
        <v>0</v>
      </c>
      <c r="O117">
        <v>0</v>
      </c>
      <c r="P117">
        <v>0</v>
      </c>
      <c r="Q117" s="13">
        <v>0</v>
      </c>
    </row>
    <row r="118" spans="1:17" x14ac:dyDescent="0.3">
      <c r="A118" t="s">
        <v>372</v>
      </c>
      <c r="B118">
        <v>0</v>
      </c>
      <c r="C118">
        <v>0</v>
      </c>
      <c r="D118" s="13">
        <v>0</v>
      </c>
      <c r="E118">
        <v>0</v>
      </c>
      <c r="F118">
        <v>1</v>
      </c>
      <c r="G118">
        <v>1</v>
      </c>
      <c r="H118">
        <v>1</v>
      </c>
      <c r="I118" s="13">
        <v>0</v>
      </c>
      <c r="J118" s="13">
        <v>0</v>
      </c>
      <c r="K118" s="13">
        <v>0</v>
      </c>
      <c r="L118">
        <v>0</v>
      </c>
      <c r="M118" s="13">
        <v>0</v>
      </c>
      <c r="N118">
        <v>0</v>
      </c>
      <c r="O118">
        <v>1</v>
      </c>
      <c r="P118">
        <v>0</v>
      </c>
      <c r="Q118" s="13">
        <v>0</v>
      </c>
    </row>
    <row r="119" spans="1:17" x14ac:dyDescent="0.3">
      <c r="A119" t="s">
        <v>367</v>
      </c>
      <c r="B119">
        <v>0</v>
      </c>
      <c r="C119">
        <v>0</v>
      </c>
      <c r="D119" s="13">
        <v>1</v>
      </c>
      <c r="E119">
        <v>0</v>
      </c>
      <c r="F119">
        <v>0</v>
      </c>
      <c r="G119">
        <v>1</v>
      </c>
      <c r="H119">
        <v>1</v>
      </c>
      <c r="I119" s="13">
        <v>0</v>
      </c>
      <c r="J119" s="13">
        <v>0</v>
      </c>
      <c r="K119" s="13">
        <v>0</v>
      </c>
      <c r="L119">
        <v>0</v>
      </c>
      <c r="M119" s="13">
        <v>0</v>
      </c>
      <c r="N119">
        <v>1</v>
      </c>
      <c r="O119">
        <v>0</v>
      </c>
      <c r="P119">
        <v>0</v>
      </c>
      <c r="Q119" s="13">
        <v>0</v>
      </c>
    </row>
    <row r="120" spans="1:17" x14ac:dyDescent="0.3">
      <c r="A120" t="s">
        <v>368</v>
      </c>
      <c r="B120">
        <v>1</v>
      </c>
      <c r="C120">
        <v>0</v>
      </c>
      <c r="D120" s="13">
        <v>0</v>
      </c>
      <c r="E120">
        <v>0</v>
      </c>
      <c r="F120">
        <v>0</v>
      </c>
      <c r="G120">
        <v>0</v>
      </c>
      <c r="H120">
        <v>0</v>
      </c>
      <c r="I120" s="13">
        <v>0</v>
      </c>
      <c r="J120" s="13">
        <v>0</v>
      </c>
      <c r="K120" s="13">
        <v>1</v>
      </c>
      <c r="L120">
        <v>1</v>
      </c>
      <c r="M120" s="13">
        <v>1</v>
      </c>
      <c r="N120">
        <v>0</v>
      </c>
      <c r="O120">
        <v>0</v>
      </c>
      <c r="P120">
        <v>0</v>
      </c>
      <c r="Q120" s="13">
        <v>0</v>
      </c>
    </row>
    <row r="121" spans="1:17" x14ac:dyDescent="0.3">
      <c r="A121" t="s">
        <v>369</v>
      </c>
      <c r="B121">
        <v>0</v>
      </c>
      <c r="C121">
        <v>1</v>
      </c>
      <c r="D121" s="13">
        <v>0</v>
      </c>
      <c r="E121">
        <v>0</v>
      </c>
      <c r="F121">
        <v>0</v>
      </c>
      <c r="G121">
        <v>0</v>
      </c>
      <c r="H121">
        <v>0</v>
      </c>
      <c r="I121" s="13">
        <v>0</v>
      </c>
      <c r="J121" s="13">
        <v>0</v>
      </c>
      <c r="K121" s="13">
        <v>0</v>
      </c>
      <c r="L121">
        <v>0</v>
      </c>
      <c r="M121" s="13">
        <v>0</v>
      </c>
      <c r="N121">
        <v>0</v>
      </c>
      <c r="O121">
        <v>1</v>
      </c>
      <c r="P121">
        <v>0</v>
      </c>
      <c r="Q121" s="13">
        <v>1</v>
      </c>
    </row>
    <row r="122" spans="1:17" x14ac:dyDescent="0.3">
      <c r="A122" t="s">
        <v>397</v>
      </c>
      <c r="B122">
        <v>1</v>
      </c>
      <c r="C122">
        <v>0</v>
      </c>
      <c r="D122" s="13">
        <v>0</v>
      </c>
      <c r="E122">
        <v>0</v>
      </c>
      <c r="F122">
        <v>0</v>
      </c>
      <c r="G122">
        <v>0</v>
      </c>
      <c r="H122">
        <v>0</v>
      </c>
      <c r="I122" s="13">
        <v>0</v>
      </c>
      <c r="J122" s="13">
        <v>1</v>
      </c>
      <c r="K122" s="13">
        <v>0</v>
      </c>
      <c r="L122">
        <v>0</v>
      </c>
      <c r="M122" s="13">
        <v>1</v>
      </c>
      <c r="N122">
        <v>0</v>
      </c>
      <c r="O122">
        <v>0</v>
      </c>
      <c r="P122">
        <v>0</v>
      </c>
      <c r="Q122" s="13">
        <v>0</v>
      </c>
    </row>
    <row r="123" spans="1:17" x14ac:dyDescent="0.3">
      <c r="A123" t="s">
        <v>398</v>
      </c>
      <c r="B123">
        <v>0</v>
      </c>
      <c r="C123">
        <v>0</v>
      </c>
      <c r="D123" s="13">
        <v>0</v>
      </c>
      <c r="E123">
        <v>0</v>
      </c>
      <c r="F123">
        <v>0</v>
      </c>
      <c r="G123">
        <v>0</v>
      </c>
      <c r="H123">
        <v>1</v>
      </c>
      <c r="I123" s="13">
        <v>1</v>
      </c>
      <c r="J123" s="13">
        <v>0</v>
      </c>
      <c r="K123" s="13">
        <v>1</v>
      </c>
      <c r="L123">
        <v>0</v>
      </c>
      <c r="M123" s="13">
        <v>0</v>
      </c>
      <c r="N123">
        <v>1</v>
      </c>
      <c r="O123">
        <v>0</v>
      </c>
      <c r="P123">
        <v>0</v>
      </c>
      <c r="Q123" s="13">
        <v>0</v>
      </c>
    </row>
    <row r="124" spans="1:17" x14ac:dyDescent="0.3">
      <c r="A124" t="s">
        <v>399</v>
      </c>
      <c r="B124">
        <v>0</v>
      </c>
      <c r="C124">
        <v>0</v>
      </c>
      <c r="D124" s="13">
        <v>0</v>
      </c>
      <c r="E124">
        <v>0</v>
      </c>
      <c r="F124">
        <v>0</v>
      </c>
      <c r="G124">
        <v>0</v>
      </c>
      <c r="H124">
        <v>0</v>
      </c>
      <c r="I124" s="13">
        <v>0</v>
      </c>
      <c r="J124" s="13">
        <v>0</v>
      </c>
      <c r="K124" s="13">
        <v>0</v>
      </c>
      <c r="L124">
        <v>1</v>
      </c>
      <c r="M124" s="13">
        <v>0</v>
      </c>
      <c r="N124">
        <v>0</v>
      </c>
      <c r="O124">
        <v>1</v>
      </c>
      <c r="P124">
        <v>1</v>
      </c>
      <c r="Q124" s="13">
        <v>1</v>
      </c>
    </row>
    <row r="125" spans="1:17" x14ac:dyDescent="0.3">
      <c r="A125" t="s">
        <v>424</v>
      </c>
      <c r="B125">
        <v>0</v>
      </c>
      <c r="C125">
        <v>0</v>
      </c>
      <c r="D125" s="13">
        <v>1</v>
      </c>
      <c r="E125">
        <v>0</v>
      </c>
      <c r="F125">
        <v>0</v>
      </c>
      <c r="G125">
        <v>0</v>
      </c>
      <c r="H125">
        <v>0</v>
      </c>
      <c r="I125" s="13">
        <v>0</v>
      </c>
      <c r="J125" s="13">
        <v>1</v>
      </c>
      <c r="K125" s="13">
        <v>0</v>
      </c>
      <c r="L125">
        <v>1</v>
      </c>
      <c r="M125" s="13">
        <v>1</v>
      </c>
      <c r="N125">
        <v>0</v>
      </c>
      <c r="O125">
        <v>0</v>
      </c>
      <c r="P125">
        <v>0</v>
      </c>
      <c r="Q125" s="13">
        <v>0</v>
      </c>
    </row>
    <row r="126" spans="1:17" x14ac:dyDescent="0.3">
      <c r="A126" t="s">
        <v>425</v>
      </c>
      <c r="B126">
        <v>1</v>
      </c>
      <c r="C126">
        <v>0</v>
      </c>
      <c r="D126" s="13">
        <v>0</v>
      </c>
      <c r="E126">
        <v>0</v>
      </c>
      <c r="F126">
        <v>0</v>
      </c>
      <c r="G126">
        <v>1</v>
      </c>
      <c r="H126">
        <v>0</v>
      </c>
      <c r="I126" s="13">
        <v>1</v>
      </c>
      <c r="J126" s="13">
        <v>0</v>
      </c>
      <c r="K126" s="13">
        <v>1</v>
      </c>
      <c r="L126">
        <v>0</v>
      </c>
      <c r="M126" s="13">
        <v>0</v>
      </c>
      <c r="N126">
        <v>0</v>
      </c>
      <c r="O126">
        <v>0</v>
      </c>
      <c r="P126">
        <v>0</v>
      </c>
      <c r="Q126" s="13">
        <v>0</v>
      </c>
    </row>
    <row r="127" spans="1:17" x14ac:dyDescent="0.3">
      <c r="A127" t="s">
        <v>426</v>
      </c>
      <c r="B127">
        <v>0</v>
      </c>
      <c r="C127">
        <v>1</v>
      </c>
      <c r="D127" s="13">
        <v>0</v>
      </c>
      <c r="E127">
        <v>0</v>
      </c>
      <c r="F127">
        <v>0</v>
      </c>
      <c r="G127">
        <v>0</v>
      </c>
      <c r="H127">
        <v>1</v>
      </c>
      <c r="I127" s="13">
        <v>0</v>
      </c>
      <c r="J127" s="13">
        <v>0</v>
      </c>
      <c r="K127" s="13">
        <v>0</v>
      </c>
      <c r="L127">
        <v>0</v>
      </c>
      <c r="M127" s="13">
        <v>0</v>
      </c>
      <c r="N127">
        <v>0</v>
      </c>
      <c r="O127">
        <v>1</v>
      </c>
      <c r="P127">
        <v>0</v>
      </c>
      <c r="Q127" s="13">
        <v>0</v>
      </c>
    </row>
    <row r="128" spans="1:17" x14ac:dyDescent="0.3">
      <c r="A128" t="s">
        <v>421</v>
      </c>
      <c r="B128">
        <v>0</v>
      </c>
      <c r="C128">
        <v>0</v>
      </c>
      <c r="D128" s="13">
        <v>0</v>
      </c>
      <c r="E128">
        <v>0</v>
      </c>
      <c r="F128">
        <v>0</v>
      </c>
      <c r="G128">
        <v>1</v>
      </c>
      <c r="H128">
        <v>0</v>
      </c>
      <c r="I128" s="13">
        <v>0</v>
      </c>
      <c r="J128" s="13">
        <v>0</v>
      </c>
      <c r="K128" s="13">
        <v>0</v>
      </c>
      <c r="L128">
        <v>1</v>
      </c>
      <c r="M128" s="13">
        <v>1</v>
      </c>
      <c r="N128">
        <v>1</v>
      </c>
      <c r="O128">
        <v>0</v>
      </c>
      <c r="P128">
        <v>0</v>
      </c>
      <c r="Q128" s="13">
        <v>0</v>
      </c>
    </row>
    <row r="129" spans="1:17" x14ac:dyDescent="0.3">
      <c r="A129" t="s">
        <v>422</v>
      </c>
      <c r="B129">
        <v>1</v>
      </c>
      <c r="C129">
        <v>0</v>
      </c>
      <c r="D129" s="13">
        <v>1</v>
      </c>
      <c r="E129">
        <v>0</v>
      </c>
      <c r="F129">
        <v>0</v>
      </c>
      <c r="G129">
        <v>0</v>
      </c>
      <c r="H129">
        <v>0</v>
      </c>
      <c r="I129" s="13">
        <v>1</v>
      </c>
      <c r="J129" s="13">
        <v>0</v>
      </c>
      <c r="K129" s="13">
        <v>1</v>
      </c>
      <c r="L129">
        <v>0</v>
      </c>
      <c r="M129" s="13">
        <v>0</v>
      </c>
      <c r="N129">
        <v>0</v>
      </c>
      <c r="O129">
        <v>0</v>
      </c>
      <c r="P129">
        <v>0</v>
      </c>
      <c r="Q129" s="13">
        <v>0</v>
      </c>
    </row>
    <row r="130" spans="1:17" x14ac:dyDescent="0.3">
      <c r="A130" t="s">
        <v>423</v>
      </c>
      <c r="B130">
        <v>0</v>
      </c>
      <c r="C130">
        <v>1</v>
      </c>
      <c r="D130" s="13">
        <v>0</v>
      </c>
      <c r="E130">
        <v>0</v>
      </c>
      <c r="F130">
        <v>0</v>
      </c>
      <c r="G130">
        <v>0</v>
      </c>
      <c r="H130">
        <v>1</v>
      </c>
      <c r="I130" s="13">
        <v>0</v>
      </c>
      <c r="J130" s="13">
        <v>0</v>
      </c>
      <c r="K130" s="13">
        <v>0</v>
      </c>
      <c r="L130">
        <v>0</v>
      </c>
      <c r="M130" s="13">
        <v>0</v>
      </c>
      <c r="N130">
        <v>0</v>
      </c>
      <c r="O130">
        <v>1</v>
      </c>
      <c r="P130">
        <v>0</v>
      </c>
      <c r="Q130" s="13">
        <v>0</v>
      </c>
    </row>
    <row r="131" spans="1:17" x14ac:dyDescent="0.3">
      <c r="A131" t="s">
        <v>418</v>
      </c>
      <c r="B131">
        <v>1</v>
      </c>
      <c r="C131">
        <v>0</v>
      </c>
      <c r="D131" s="13">
        <v>0</v>
      </c>
      <c r="E131">
        <v>0</v>
      </c>
      <c r="F131">
        <v>0</v>
      </c>
      <c r="G131">
        <v>0</v>
      </c>
      <c r="H131">
        <v>0</v>
      </c>
      <c r="I131" s="13">
        <v>0</v>
      </c>
      <c r="J131" s="13">
        <v>1</v>
      </c>
      <c r="K131" s="13">
        <v>0</v>
      </c>
      <c r="L131">
        <v>0</v>
      </c>
      <c r="M131" s="13">
        <v>1</v>
      </c>
      <c r="N131">
        <v>0</v>
      </c>
      <c r="O131">
        <v>0</v>
      </c>
      <c r="P131">
        <v>0</v>
      </c>
      <c r="Q131" s="13">
        <v>0</v>
      </c>
    </row>
    <row r="132" spans="1:17" x14ac:dyDescent="0.3">
      <c r="A132" t="s">
        <v>419</v>
      </c>
      <c r="B132">
        <v>0</v>
      </c>
      <c r="C132">
        <v>0</v>
      </c>
      <c r="D132" s="13">
        <v>0</v>
      </c>
      <c r="E132">
        <v>0</v>
      </c>
      <c r="F132">
        <v>0</v>
      </c>
      <c r="G132">
        <v>0</v>
      </c>
      <c r="H132">
        <v>1</v>
      </c>
      <c r="I132" s="13">
        <v>1</v>
      </c>
      <c r="J132" s="13">
        <v>0</v>
      </c>
      <c r="K132" s="13">
        <v>1</v>
      </c>
      <c r="L132">
        <v>0</v>
      </c>
      <c r="M132" s="13">
        <v>0</v>
      </c>
      <c r="N132">
        <v>0</v>
      </c>
      <c r="O132">
        <v>0</v>
      </c>
      <c r="P132">
        <v>0</v>
      </c>
      <c r="Q132" s="13">
        <v>1</v>
      </c>
    </row>
    <row r="133" spans="1:17" x14ac:dyDescent="0.3">
      <c r="A133" t="s">
        <v>420</v>
      </c>
      <c r="B133">
        <v>0</v>
      </c>
      <c r="C133">
        <v>0</v>
      </c>
      <c r="D133" s="13">
        <v>0</v>
      </c>
      <c r="E133">
        <v>0</v>
      </c>
      <c r="F133">
        <v>0</v>
      </c>
      <c r="G133">
        <v>0</v>
      </c>
      <c r="H133">
        <v>0</v>
      </c>
      <c r="I133" s="13">
        <v>0</v>
      </c>
      <c r="J133" s="13">
        <v>0</v>
      </c>
      <c r="K133" s="13">
        <v>0</v>
      </c>
      <c r="L133">
        <v>1</v>
      </c>
      <c r="M133" s="13">
        <v>0</v>
      </c>
      <c r="N133">
        <v>1</v>
      </c>
      <c r="O133">
        <v>1</v>
      </c>
      <c r="P133">
        <v>1</v>
      </c>
      <c r="Q133" s="13">
        <v>0</v>
      </c>
    </row>
    <row r="134" spans="1:17" x14ac:dyDescent="0.3">
      <c r="A134" t="s">
        <v>415</v>
      </c>
      <c r="B134">
        <v>0</v>
      </c>
      <c r="C134">
        <v>0</v>
      </c>
      <c r="D134" s="13">
        <v>0</v>
      </c>
      <c r="E134">
        <v>0</v>
      </c>
      <c r="F134">
        <v>0</v>
      </c>
      <c r="G134">
        <v>0</v>
      </c>
      <c r="H134">
        <v>0</v>
      </c>
      <c r="I134" s="13">
        <v>0</v>
      </c>
      <c r="J134" s="13">
        <v>1</v>
      </c>
      <c r="K134" s="13">
        <v>0</v>
      </c>
      <c r="L134">
        <v>0</v>
      </c>
      <c r="M134" s="13">
        <v>1</v>
      </c>
      <c r="N134">
        <v>0</v>
      </c>
      <c r="O134">
        <v>0</v>
      </c>
      <c r="P134">
        <v>0</v>
      </c>
      <c r="Q134" s="13">
        <v>1</v>
      </c>
    </row>
    <row r="135" spans="1:17" x14ac:dyDescent="0.3">
      <c r="A135" t="s">
        <v>416</v>
      </c>
      <c r="B135">
        <v>1</v>
      </c>
      <c r="C135">
        <v>0</v>
      </c>
      <c r="D135" s="13">
        <v>0</v>
      </c>
      <c r="E135">
        <v>0</v>
      </c>
      <c r="F135">
        <v>0</v>
      </c>
      <c r="G135">
        <v>0</v>
      </c>
      <c r="H135">
        <v>1</v>
      </c>
      <c r="I135" s="13">
        <v>0</v>
      </c>
      <c r="J135" s="13">
        <v>0</v>
      </c>
      <c r="K135" s="13">
        <v>1</v>
      </c>
      <c r="L135">
        <v>0</v>
      </c>
      <c r="M135" s="13">
        <v>0</v>
      </c>
      <c r="N135">
        <v>1</v>
      </c>
      <c r="O135">
        <v>0</v>
      </c>
      <c r="P135">
        <v>0</v>
      </c>
      <c r="Q135" s="13">
        <v>0</v>
      </c>
    </row>
    <row r="136" spans="1:17" x14ac:dyDescent="0.3">
      <c r="A136" t="s">
        <v>417</v>
      </c>
      <c r="B136">
        <v>0</v>
      </c>
      <c r="C136">
        <v>0</v>
      </c>
      <c r="D136" s="13">
        <v>0</v>
      </c>
      <c r="E136">
        <v>0</v>
      </c>
      <c r="F136">
        <v>0</v>
      </c>
      <c r="G136">
        <v>0</v>
      </c>
      <c r="H136">
        <v>0</v>
      </c>
      <c r="I136" s="13">
        <v>1</v>
      </c>
      <c r="J136" s="13">
        <v>0</v>
      </c>
      <c r="K136" s="13">
        <v>0</v>
      </c>
      <c r="L136">
        <v>1</v>
      </c>
      <c r="M136" s="13">
        <v>0</v>
      </c>
      <c r="N136">
        <v>0</v>
      </c>
      <c r="O136">
        <v>1</v>
      </c>
      <c r="P136">
        <v>1</v>
      </c>
      <c r="Q136" s="13">
        <v>0</v>
      </c>
    </row>
    <row r="137" spans="1:17" x14ac:dyDescent="0.3">
      <c r="A137" t="s">
        <v>412</v>
      </c>
      <c r="B137">
        <v>0</v>
      </c>
      <c r="C137">
        <v>1</v>
      </c>
      <c r="D137" s="13">
        <v>0</v>
      </c>
      <c r="E137">
        <v>0</v>
      </c>
      <c r="F137">
        <v>1</v>
      </c>
      <c r="G137">
        <v>0</v>
      </c>
      <c r="H137">
        <v>0</v>
      </c>
      <c r="I137" s="13">
        <v>0</v>
      </c>
      <c r="J137" s="13">
        <v>0</v>
      </c>
      <c r="K137" s="13">
        <v>1</v>
      </c>
      <c r="L137">
        <v>0</v>
      </c>
      <c r="M137" s="13">
        <v>1</v>
      </c>
      <c r="N137">
        <v>0</v>
      </c>
      <c r="O137">
        <v>0</v>
      </c>
      <c r="P137">
        <v>0</v>
      </c>
      <c r="Q137" s="13">
        <v>0</v>
      </c>
    </row>
    <row r="138" spans="1:17" x14ac:dyDescent="0.3">
      <c r="A138" t="s">
        <v>413</v>
      </c>
      <c r="B138">
        <v>0</v>
      </c>
      <c r="C138">
        <v>0</v>
      </c>
      <c r="D138" s="13">
        <v>0</v>
      </c>
      <c r="E138">
        <v>0</v>
      </c>
      <c r="F138">
        <v>0</v>
      </c>
      <c r="G138">
        <v>1</v>
      </c>
      <c r="H138">
        <v>0</v>
      </c>
      <c r="I138" s="13">
        <v>1</v>
      </c>
      <c r="J138" s="13">
        <v>0</v>
      </c>
      <c r="K138" s="13">
        <v>0</v>
      </c>
      <c r="L138">
        <v>0</v>
      </c>
      <c r="M138" s="13">
        <v>0</v>
      </c>
      <c r="N138">
        <v>0</v>
      </c>
      <c r="O138">
        <v>1</v>
      </c>
      <c r="P138">
        <v>0</v>
      </c>
      <c r="Q138" s="13">
        <v>1</v>
      </c>
    </row>
    <row r="139" spans="1:17" x14ac:dyDescent="0.3">
      <c r="A139" t="s">
        <v>414</v>
      </c>
      <c r="B139">
        <v>0</v>
      </c>
      <c r="C139">
        <v>0</v>
      </c>
      <c r="D139" s="13">
        <v>0</v>
      </c>
      <c r="E139">
        <v>0</v>
      </c>
      <c r="F139">
        <v>0</v>
      </c>
      <c r="G139">
        <v>0</v>
      </c>
      <c r="H139">
        <v>0</v>
      </c>
      <c r="I139" s="13">
        <v>0</v>
      </c>
      <c r="J139" s="13">
        <v>1</v>
      </c>
      <c r="K139" s="13">
        <v>0</v>
      </c>
      <c r="L139">
        <v>1</v>
      </c>
      <c r="M139" s="13">
        <v>0</v>
      </c>
      <c r="N139">
        <v>1</v>
      </c>
      <c r="O139">
        <v>0</v>
      </c>
      <c r="P139">
        <v>1</v>
      </c>
      <c r="Q139" s="13">
        <v>0</v>
      </c>
    </row>
    <row r="140" spans="1:17" x14ac:dyDescent="0.3">
      <c r="A140" t="s">
        <v>409</v>
      </c>
      <c r="B140">
        <v>0</v>
      </c>
      <c r="C140">
        <v>0</v>
      </c>
      <c r="D140" s="13">
        <v>0</v>
      </c>
      <c r="E140">
        <v>0</v>
      </c>
      <c r="F140">
        <v>0</v>
      </c>
      <c r="G140">
        <v>0</v>
      </c>
      <c r="H140">
        <v>0</v>
      </c>
      <c r="I140" s="13">
        <v>0</v>
      </c>
      <c r="J140" s="13">
        <v>0</v>
      </c>
      <c r="K140" s="13">
        <v>1</v>
      </c>
      <c r="L140">
        <v>1</v>
      </c>
      <c r="M140" s="13">
        <v>0</v>
      </c>
      <c r="N140">
        <v>1</v>
      </c>
      <c r="O140">
        <v>0</v>
      </c>
      <c r="P140">
        <v>0</v>
      </c>
      <c r="Q140" s="13">
        <v>0</v>
      </c>
    </row>
    <row r="141" spans="1:17" x14ac:dyDescent="0.3">
      <c r="A141" t="s">
        <v>410</v>
      </c>
      <c r="B141">
        <v>1</v>
      </c>
      <c r="C141">
        <v>1</v>
      </c>
      <c r="D141" s="13">
        <v>1</v>
      </c>
      <c r="E141">
        <v>1</v>
      </c>
      <c r="F141">
        <v>0</v>
      </c>
      <c r="G141">
        <v>0</v>
      </c>
      <c r="H141">
        <v>0</v>
      </c>
      <c r="I141" s="13">
        <v>0</v>
      </c>
      <c r="J141" s="13">
        <v>0</v>
      </c>
      <c r="K141" s="13">
        <v>0</v>
      </c>
      <c r="L141">
        <v>0</v>
      </c>
      <c r="M141" s="13">
        <v>0</v>
      </c>
      <c r="N141">
        <v>0</v>
      </c>
      <c r="O141">
        <v>0</v>
      </c>
      <c r="P141">
        <v>0</v>
      </c>
      <c r="Q141" s="13">
        <v>0</v>
      </c>
    </row>
    <row r="142" spans="1:17" x14ac:dyDescent="0.3">
      <c r="A142" t="s">
        <v>411</v>
      </c>
      <c r="B142">
        <v>0</v>
      </c>
      <c r="C142">
        <v>0</v>
      </c>
      <c r="D142" s="13">
        <v>0</v>
      </c>
      <c r="E142">
        <v>0</v>
      </c>
      <c r="F142">
        <v>1</v>
      </c>
      <c r="G142">
        <v>1</v>
      </c>
      <c r="H142">
        <v>1</v>
      </c>
      <c r="I142" s="13">
        <v>1</v>
      </c>
      <c r="J142" s="13">
        <v>1</v>
      </c>
      <c r="K142" s="13">
        <v>0</v>
      </c>
      <c r="L142">
        <v>0</v>
      </c>
      <c r="M142" s="13">
        <v>0</v>
      </c>
      <c r="N142">
        <v>0</v>
      </c>
      <c r="O142">
        <v>0</v>
      </c>
      <c r="P142">
        <v>0</v>
      </c>
      <c r="Q142" s="13">
        <v>0</v>
      </c>
    </row>
    <row r="143" spans="1:17" x14ac:dyDescent="0.3">
      <c r="A143" t="s">
        <v>406</v>
      </c>
      <c r="B143">
        <v>0</v>
      </c>
      <c r="C143">
        <v>0</v>
      </c>
      <c r="D143" s="13">
        <v>0</v>
      </c>
      <c r="E143">
        <v>0</v>
      </c>
      <c r="F143">
        <v>0</v>
      </c>
      <c r="G143">
        <v>0</v>
      </c>
      <c r="H143">
        <v>0</v>
      </c>
      <c r="I143" s="13">
        <v>0</v>
      </c>
      <c r="J143" s="13">
        <v>0</v>
      </c>
      <c r="K143" s="13">
        <v>1</v>
      </c>
      <c r="L143">
        <v>1</v>
      </c>
      <c r="M143" s="13">
        <v>1</v>
      </c>
      <c r="N143">
        <v>1</v>
      </c>
      <c r="O143">
        <v>0</v>
      </c>
      <c r="P143">
        <v>0</v>
      </c>
      <c r="Q143" s="13">
        <v>0</v>
      </c>
    </row>
    <row r="144" spans="1:17" x14ac:dyDescent="0.3">
      <c r="A144" t="s">
        <v>407</v>
      </c>
      <c r="B144">
        <v>1</v>
      </c>
      <c r="C144">
        <v>1</v>
      </c>
      <c r="D144" s="13">
        <v>1</v>
      </c>
      <c r="E144">
        <v>1</v>
      </c>
      <c r="F144">
        <v>0</v>
      </c>
      <c r="G144">
        <v>0</v>
      </c>
      <c r="H144">
        <v>0</v>
      </c>
      <c r="I144" s="13">
        <v>0</v>
      </c>
      <c r="J144" s="13">
        <v>0</v>
      </c>
      <c r="K144" s="13">
        <v>0</v>
      </c>
      <c r="L144">
        <v>0</v>
      </c>
      <c r="M144" s="13">
        <v>0</v>
      </c>
      <c r="N144">
        <v>0</v>
      </c>
      <c r="O144">
        <v>0</v>
      </c>
      <c r="P144">
        <v>0</v>
      </c>
      <c r="Q144" s="13">
        <v>0</v>
      </c>
    </row>
    <row r="145" spans="1:17" x14ac:dyDescent="0.3">
      <c r="A145" t="s">
        <v>408</v>
      </c>
      <c r="B145">
        <v>0</v>
      </c>
      <c r="C145">
        <v>0</v>
      </c>
      <c r="D145" s="13">
        <v>0</v>
      </c>
      <c r="E145">
        <v>0</v>
      </c>
      <c r="F145">
        <v>1</v>
      </c>
      <c r="G145">
        <v>1</v>
      </c>
      <c r="H145">
        <v>1</v>
      </c>
      <c r="I145" s="13">
        <v>1</v>
      </c>
      <c r="J145" s="13">
        <v>1</v>
      </c>
      <c r="K145" s="13">
        <v>0</v>
      </c>
      <c r="L145">
        <v>0</v>
      </c>
      <c r="M145" s="13">
        <v>0</v>
      </c>
      <c r="N145">
        <v>0</v>
      </c>
      <c r="O145">
        <v>0</v>
      </c>
      <c r="P145">
        <v>0</v>
      </c>
      <c r="Q145" s="13">
        <v>0</v>
      </c>
    </row>
    <row r="146" spans="1:17" x14ac:dyDescent="0.3">
      <c r="A146" t="s">
        <v>403</v>
      </c>
      <c r="B146">
        <v>1</v>
      </c>
      <c r="C146">
        <v>1</v>
      </c>
      <c r="D146" s="13">
        <v>1</v>
      </c>
      <c r="E146">
        <v>1</v>
      </c>
      <c r="F146">
        <v>0</v>
      </c>
      <c r="G146">
        <v>0</v>
      </c>
      <c r="H146">
        <v>0</v>
      </c>
      <c r="I146" s="13">
        <v>0</v>
      </c>
      <c r="J146" s="13">
        <v>0</v>
      </c>
      <c r="K146" s="13">
        <v>0</v>
      </c>
      <c r="L146">
        <v>0</v>
      </c>
      <c r="M146" s="13">
        <v>0</v>
      </c>
      <c r="N146">
        <v>0</v>
      </c>
      <c r="O146">
        <v>0</v>
      </c>
      <c r="P146">
        <v>0</v>
      </c>
      <c r="Q146" s="13">
        <v>0</v>
      </c>
    </row>
    <row r="147" spans="1:17" x14ac:dyDescent="0.3">
      <c r="A147" t="s">
        <v>404</v>
      </c>
      <c r="B147">
        <v>0</v>
      </c>
      <c r="C147">
        <v>0</v>
      </c>
      <c r="D147" s="13">
        <v>0</v>
      </c>
      <c r="E147">
        <v>0</v>
      </c>
      <c r="F147">
        <v>0</v>
      </c>
      <c r="G147">
        <v>0</v>
      </c>
      <c r="H147">
        <v>0</v>
      </c>
      <c r="I147" s="13">
        <v>0</v>
      </c>
      <c r="J147" s="13">
        <v>0</v>
      </c>
      <c r="K147" s="13">
        <v>1</v>
      </c>
      <c r="L147">
        <v>1</v>
      </c>
      <c r="M147" s="13">
        <v>1</v>
      </c>
      <c r="N147">
        <v>1</v>
      </c>
      <c r="O147">
        <v>0</v>
      </c>
      <c r="P147">
        <v>0</v>
      </c>
      <c r="Q147" s="13">
        <v>0</v>
      </c>
    </row>
    <row r="148" spans="1:17" x14ac:dyDescent="0.3">
      <c r="A148" t="s">
        <v>405</v>
      </c>
      <c r="B148">
        <v>0</v>
      </c>
      <c r="C148">
        <v>0</v>
      </c>
      <c r="D148" s="13">
        <v>0</v>
      </c>
      <c r="E148">
        <v>0</v>
      </c>
      <c r="F148">
        <v>0</v>
      </c>
      <c r="G148">
        <v>0</v>
      </c>
      <c r="H148">
        <v>0</v>
      </c>
      <c r="I148" s="13">
        <v>0</v>
      </c>
      <c r="J148" s="13">
        <v>0</v>
      </c>
      <c r="K148" s="13">
        <v>0</v>
      </c>
      <c r="L148">
        <v>0</v>
      </c>
      <c r="M148" s="13">
        <v>0</v>
      </c>
      <c r="N148">
        <v>0</v>
      </c>
      <c r="O148">
        <v>1</v>
      </c>
      <c r="P148">
        <v>1</v>
      </c>
      <c r="Q148" s="13">
        <v>1</v>
      </c>
    </row>
    <row r="149" spans="1:17" x14ac:dyDescent="0.3">
      <c r="A149" t="s">
        <v>400</v>
      </c>
      <c r="B149">
        <v>0</v>
      </c>
      <c r="C149">
        <v>0</v>
      </c>
      <c r="D149" s="13">
        <v>0</v>
      </c>
      <c r="E149">
        <v>0</v>
      </c>
      <c r="F149">
        <v>0</v>
      </c>
      <c r="G149">
        <v>0</v>
      </c>
      <c r="H149">
        <v>0</v>
      </c>
      <c r="I149" s="13">
        <v>0</v>
      </c>
      <c r="J149" s="13">
        <v>0</v>
      </c>
      <c r="K149" s="13">
        <v>0</v>
      </c>
      <c r="L149">
        <v>1</v>
      </c>
      <c r="M149" s="13">
        <v>0</v>
      </c>
      <c r="N149">
        <v>1</v>
      </c>
      <c r="O149">
        <v>0</v>
      </c>
      <c r="P149">
        <v>0</v>
      </c>
      <c r="Q149" s="13">
        <v>0</v>
      </c>
    </row>
    <row r="150" spans="1:17" x14ac:dyDescent="0.3">
      <c r="A150" t="s">
        <v>401</v>
      </c>
      <c r="B150">
        <v>1</v>
      </c>
      <c r="C150">
        <v>1</v>
      </c>
      <c r="D150" s="13">
        <v>1</v>
      </c>
      <c r="E150">
        <v>1</v>
      </c>
      <c r="F150">
        <v>0</v>
      </c>
      <c r="G150">
        <v>0</v>
      </c>
      <c r="H150">
        <v>0</v>
      </c>
      <c r="I150" s="13">
        <v>0</v>
      </c>
      <c r="J150" s="13">
        <v>0</v>
      </c>
      <c r="K150" s="13">
        <v>0</v>
      </c>
      <c r="L150">
        <v>0</v>
      </c>
      <c r="M150" s="13">
        <v>1</v>
      </c>
      <c r="N150">
        <v>0</v>
      </c>
      <c r="O150">
        <v>0</v>
      </c>
      <c r="P150">
        <v>0</v>
      </c>
      <c r="Q150" s="13">
        <v>0</v>
      </c>
    </row>
    <row r="151" spans="1:17" x14ac:dyDescent="0.3">
      <c r="A151" t="s">
        <v>402</v>
      </c>
      <c r="B151">
        <v>0</v>
      </c>
      <c r="C151">
        <v>0</v>
      </c>
      <c r="D151" s="13">
        <v>0</v>
      </c>
      <c r="E151">
        <v>0</v>
      </c>
      <c r="F151">
        <v>1</v>
      </c>
      <c r="G151">
        <v>1</v>
      </c>
      <c r="H151">
        <v>1</v>
      </c>
      <c r="I151" s="13">
        <v>1</v>
      </c>
      <c r="J151" s="13">
        <v>1</v>
      </c>
      <c r="K151" s="13">
        <v>0</v>
      </c>
      <c r="L151">
        <v>0</v>
      </c>
      <c r="M151" s="13">
        <v>0</v>
      </c>
      <c r="N151">
        <v>0</v>
      </c>
      <c r="O151">
        <v>0</v>
      </c>
      <c r="P151">
        <v>0</v>
      </c>
      <c r="Q151" s="13">
        <v>0</v>
      </c>
    </row>
    <row r="152" spans="1:17" x14ac:dyDescent="0.3">
      <c r="A152" t="s">
        <v>452</v>
      </c>
      <c r="B152">
        <v>0</v>
      </c>
      <c r="C152">
        <v>0</v>
      </c>
      <c r="D152" s="13">
        <v>0</v>
      </c>
      <c r="E152">
        <v>0</v>
      </c>
      <c r="F152">
        <v>0</v>
      </c>
      <c r="G152">
        <v>0</v>
      </c>
      <c r="H152">
        <v>0</v>
      </c>
      <c r="I152" s="13">
        <v>0</v>
      </c>
      <c r="J152" s="13">
        <v>0</v>
      </c>
      <c r="K152" s="13">
        <v>0</v>
      </c>
      <c r="L152">
        <v>1</v>
      </c>
      <c r="M152" s="13">
        <v>1</v>
      </c>
      <c r="N152">
        <v>1</v>
      </c>
      <c r="O152">
        <v>0</v>
      </c>
      <c r="P152">
        <v>0</v>
      </c>
      <c r="Q152" s="13">
        <v>0</v>
      </c>
    </row>
    <row r="153" spans="1:17" x14ac:dyDescent="0.3">
      <c r="A153" t="s">
        <v>453</v>
      </c>
      <c r="B153">
        <v>1</v>
      </c>
      <c r="C153">
        <v>1</v>
      </c>
      <c r="D153" s="13">
        <v>1</v>
      </c>
      <c r="E153">
        <v>1</v>
      </c>
      <c r="F153">
        <v>0</v>
      </c>
      <c r="G153">
        <v>0</v>
      </c>
      <c r="H153">
        <v>0</v>
      </c>
      <c r="I153" s="13">
        <v>0</v>
      </c>
      <c r="J153" s="13">
        <v>0</v>
      </c>
      <c r="K153" s="13">
        <v>0</v>
      </c>
      <c r="L153">
        <v>0</v>
      </c>
      <c r="M153" s="13">
        <v>0</v>
      </c>
      <c r="N153">
        <v>0</v>
      </c>
      <c r="O153">
        <v>0</v>
      </c>
      <c r="P153">
        <v>0</v>
      </c>
      <c r="Q153" s="13">
        <v>0</v>
      </c>
    </row>
    <row r="154" spans="1:17" x14ac:dyDescent="0.3">
      <c r="A154" t="s">
        <v>454</v>
      </c>
      <c r="B154">
        <v>0</v>
      </c>
      <c r="C154">
        <v>0</v>
      </c>
      <c r="D154" s="13">
        <v>0</v>
      </c>
      <c r="E154">
        <v>0</v>
      </c>
      <c r="F154">
        <v>0</v>
      </c>
      <c r="G154">
        <v>1</v>
      </c>
      <c r="H154">
        <v>1</v>
      </c>
      <c r="I154" s="13">
        <v>1</v>
      </c>
      <c r="J154" s="13">
        <v>0</v>
      </c>
      <c r="K154" s="13">
        <v>0</v>
      </c>
      <c r="L154">
        <v>0</v>
      </c>
      <c r="M154" s="13">
        <v>0</v>
      </c>
      <c r="N154">
        <v>0</v>
      </c>
      <c r="O154">
        <v>0</v>
      </c>
      <c r="P154">
        <v>0</v>
      </c>
      <c r="Q154" s="13">
        <v>0</v>
      </c>
    </row>
    <row r="155" spans="1:17" x14ac:dyDescent="0.3">
      <c r="A155" t="s">
        <v>449</v>
      </c>
      <c r="B155">
        <v>0</v>
      </c>
      <c r="C155">
        <v>0</v>
      </c>
      <c r="D155" s="13">
        <v>0</v>
      </c>
      <c r="E155">
        <v>0</v>
      </c>
      <c r="F155">
        <v>0</v>
      </c>
      <c r="G155">
        <v>0</v>
      </c>
      <c r="H155">
        <v>0</v>
      </c>
      <c r="I155" s="13">
        <v>0</v>
      </c>
      <c r="J155" s="13">
        <v>0</v>
      </c>
      <c r="K155" s="13">
        <v>0</v>
      </c>
      <c r="L155">
        <v>1</v>
      </c>
      <c r="M155" s="13">
        <v>1</v>
      </c>
      <c r="N155">
        <v>1</v>
      </c>
      <c r="O155">
        <v>0</v>
      </c>
      <c r="P155">
        <v>0</v>
      </c>
      <c r="Q155" s="13">
        <v>0</v>
      </c>
    </row>
    <row r="156" spans="1:17" x14ac:dyDescent="0.3">
      <c r="A156" t="s">
        <v>450</v>
      </c>
      <c r="B156">
        <v>1</v>
      </c>
      <c r="C156">
        <v>1</v>
      </c>
      <c r="D156" s="13">
        <v>1</v>
      </c>
      <c r="E156">
        <v>1</v>
      </c>
      <c r="F156">
        <v>0</v>
      </c>
      <c r="G156">
        <v>0</v>
      </c>
      <c r="H156">
        <v>0</v>
      </c>
      <c r="I156" s="13">
        <v>0</v>
      </c>
      <c r="J156" s="13">
        <v>0</v>
      </c>
      <c r="K156" s="13">
        <v>0</v>
      </c>
      <c r="L156">
        <v>0</v>
      </c>
      <c r="M156" s="13">
        <v>0</v>
      </c>
      <c r="N156">
        <v>0</v>
      </c>
      <c r="O156">
        <v>0</v>
      </c>
      <c r="P156">
        <v>0</v>
      </c>
      <c r="Q156" s="13">
        <v>0</v>
      </c>
    </row>
    <row r="157" spans="1:17" x14ac:dyDescent="0.3">
      <c r="A157" t="s">
        <v>451</v>
      </c>
      <c r="B157">
        <v>0</v>
      </c>
      <c r="C157">
        <v>0</v>
      </c>
      <c r="D157" s="13">
        <v>0</v>
      </c>
      <c r="E157">
        <v>0</v>
      </c>
      <c r="F157">
        <v>1</v>
      </c>
      <c r="G157">
        <v>1</v>
      </c>
      <c r="H157">
        <v>1</v>
      </c>
      <c r="I157" s="13">
        <v>1</v>
      </c>
      <c r="J157" s="13">
        <v>1</v>
      </c>
      <c r="K157" s="13">
        <v>0</v>
      </c>
      <c r="L157">
        <v>0</v>
      </c>
      <c r="M157" s="13">
        <v>0</v>
      </c>
      <c r="N157">
        <v>0</v>
      </c>
      <c r="O157">
        <v>0</v>
      </c>
      <c r="P157">
        <v>0</v>
      </c>
      <c r="Q157" s="13">
        <v>0</v>
      </c>
    </row>
    <row r="158" spans="1:17" x14ac:dyDescent="0.3">
      <c r="A158" t="s">
        <v>446</v>
      </c>
      <c r="B158">
        <v>0</v>
      </c>
      <c r="C158">
        <v>0</v>
      </c>
      <c r="D158" s="13">
        <v>0</v>
      </c>
      <c r="E158">
        <v>0</v>
      </c>
      <c r="F158">
        <v>0</v>
      </c>
      <c r="G158">
        <v>0</v>
      </c>
      <c r="H158">
        <v>0</v>
      </c>
      <c r="I158" s="13">
        <v>0</v>
      </c>
      <c r="J158" s="13">
        <v>0</v>
      </c>
      <c r="K158" s="13">
        <v>0</v>
      </c>
      <c r="L158">
        <v>1</v>
      </c>
      <c r="M158" s="13">
        <v>1</v>
      </c>
      <c r="N158">
        <v>1</v>
      </c>
      <c r="O158">
        <v>0</v>
      </c>
      <c r="P158">
        <v>0</v>
      </c>
      <c r="Q158" s="13">
        <v>0</v>
      </c>
    </row>
    <row r="159" spans="1:17" x14ac:dyDescent="0.3">
      <c r="A159" t="s">
        <v>447</v>
      </c>
      <c r="B159">
        <v>1</v>
      </c>
      <c r="C159">
        <v>1</v>
      </c>
      <c r="D159" s="13">
        <v>1</v>
      </c>
      <c r="E159">
        <v>1</v>
      </c>
      <c r="F159">
        <v>0</v>
      </c>
      <c r="G159">
        <v>0</v>
      </c>
      <c r="H159">
        <v>0</v>
      </c>
      <c r="I159" s="13">
        <v>0</v>
      </c>
      <c r="J159" s="13">
        <v>0</v>
      </c>
      <c r="K159" s="13">
        <v>0</v>
      </c>
      <c r="L159">
        <v>0</v>
      </c>
      <c r="M159" s="13">
        <v>0</v>
      </c>
      <c r="N159">
        <v>0</v>
      </c>
      <c r="O159">
        <v>0</v>
      </c>
      <c r="P159">
        <v>0</v>
      </c>
      <c r="Q159" s="13">
        <v>0</v>
      </c>
    </row>
    <row r="160" spans="1:17" x14ac:dyDescent="0.3">
      <c r="A160" t="s">
        <v>448</v>
      </c>
      <c r="B160">
        <v>0</v>
      </c>
      <c r="C160">
        <v>0</v>
      </c>
      <c r="D160" s="13">
        <v>0</v>
      </c>
      <c r="E160">
        <v>0</v>
      </c>
      <c r="F160">
        <v>1</v>
      </c>
      <c r="G160">
        <v>1</v>
      </c>
      <c r="H160">
        <v>1</v>
      </c>
      <c r="I160" s="13">
        <v>1</v>
      </c>
      <c r="J160" s="13">
        <v>1</v>
      </c>
      <c r="K160" s="13">
        <v>0</v>
      </c>
      <c r="L160">
        <v>0</v>
      </c>
      <c r="M160" s="13">
        <v>0</v>
      </c>
      <c r="N160">
        <v>0</v>
      </c>
      <c r="O160">
        <v>0</v>
      </c>
      <c r="P160">
        <v>0</v>
      </c>
      <c r="Q160" s="13">
        <v>0</v>
      </c>
    </row>
    <row r="161" spans="1:17" x14ac:dyDescent="0.3">
      <c r="A161" t="s">
        <v>443</v>
      </c>
      <c r="B161">
        <v>0</v>
      </c>
      <c r="C161">
        <v>0</v>
      </c>
      <c r="D161" s="13">
        <v>0</v>
      </c>
      <c r="E161">
        <v>0</v>
      </c>
      <c r="F161">
        <v>0</v>
      </c>
      <c r="G161">
        <v>0</v>
      </c>
      <c r="H161">
        <v>0</v>
      </c>
      <c r="I161" s="13">
        <v>0</v>
      </c>
      <c r="J161" s="13">
        <v>0</v>
      </c>
      <c r="K161" s="13">
        <v>1</v>
      </c>
      <c r="L161">
        <v>1</v>
      </c>
      <c r="M161" s="13">
        <v>0</v>
      </c>
      <c r="N161">
        <v>1</v>
      </c>
      <c r="O161">
        <v>0</v>
      </c>
      <c r="P161">
        <v>0</v>
      </c>
      <c r="Q161" s="13">
        <v>0</v>
      </c>
    </row>
    <row r="162" spans="1:17" x14ac:dyDescent="0.3">
      <c r="A162" t="s">
        <v>444</v>
      </c>
      <c r="B162">
        <v>1</v>
      </c>
      <c r="C162">
        <v>1</v>
      </c>
      <c r="D162" s="13">
        <v>1</v>
      </c>
      <c r="E162">
        <v>1</v>
      </c>
      <c r="F162">
        <v>0</v>
      </c>
      <c r="G162">
        <v>0</v>
      </c>
      <c r="H162">
        <v>0</v>
      </c>
      <c r="I162" s="13">
        <v>0</v>
      </c>
      <c r="J162" s="13">
        <v>0</v>
      </c>
      <c r="K162" s="13">
        <v>0</v>
      </c>
      <c r="L162">
        <v>0</v>
      </c>
      <c r="M162" s="13">
        <v>0</v>
      </c>
      <c r="N162">
        <v>0</v>
      </c>
      <c r="O162">
        <v>0</v>
      </c>
      <c r="P162">
        <v>0</v>
      </c>
      <c r="Q162" s="13">
        <v>0</v>
      </c>
    </row>
    <row r="163" spans="1:17" x14ac:dyDescent="0.3">
      <c r="A163" t="s">
        <v>445</v>
      </c>
      <c r="B163">
        <v>0</v>
      </c>
      <c r="C163">
        <v>0</v>
      </c>
      <c r="D163" s="13">
        <v>0</v>
      </c>
      <c r="E163">
        <v>0</v>
      </c>
      <c r="F163">
        <v>1</v>
      </c>
      <c r="G163">
        <v>1</v>
      </c>
      <c r="H163">
        <v>1</v>
      </c>
      <c r="I163" s="13">
        <v>1</v>
      </c>
      <c r="J163" s="13">
        <v>1</v>
      </c>
      <c r="K163" s="13">
        <v>0</v>
      </c>
      <c r="L163">
        <v>0</v>
      </c>
      <c r="M163" s="13">
        <v>0</v>
      </c>
      <c r="N163">
        <v>0</v>
      </c>
      <c r="O163">
        <v>0</v>
      </c>
      <c r="P163">
        <v>0</v>
      </c>
      <c r="Q163" s="13">
        <v>0</v>
      </c>
    </row>
    <row r="164" spans="1:17" x14ac:dyDescent="0.3">
      <c r="A164" t="s">
        <v>440</v>
      </c>
      <c r="B164">
        <v>1</v>
      </c>
      <c r="C164">
        <v>0</v>
      </c>
      <c r="D164" s="13">
        <v>0</v>
      </c>
      <c r="E164">
        <v>1</v>
      </c>
      <c r="F164">
        <v>1</v>
      </c>
      <c r="G164">
        <v>0</v>
      </c>
      <c r="H164">
        <v>1</v>
      </c>
      <c r="I164" s="13">
        <v>0</v>
      </c>
      <c r="J164" s="13">
        <v>0</v>
      </c>
      <c r="K164" s="13">
        <v>1</v>
      </c>
      <c r="L164">
        <v>0</v>
      </c>
      <c r="M164" s="13">
        <v>0</v>
      </c>
      <c r="N164">
        <v>0</v>
      </c>
      <c r="O164">
        <v>0</v>
      </c>
      <c r="P164">
        <v>0</v>
      </c>
      <c r="Q164" s="13">
        <v>0</v>
      </c>
    </row>
    <row r="165" spans="1:17" x14ac:dyDescent="0.3">
      <c r="A165" t="s">
        <v>441</v>
      </c>
      <c r="B165">
        <v>0</v>
      </c>
      <c r="C165">
        <v>0</v>
      </c>
      <c r="D165" s="13">
        <v>0</v>
      </c>
      <c r="E165">
        <v>0</v>
      </c>
      <c r="F165">
        <v>0</v>
      </c>
      <c r="G165">
        <v>0</v>
      </c>
      <c r="H165">
        <v>0</v>
      </c>
      <c r="I165" s="13">
        <v>1</v>
      </c>
      <c r="J165" s="13">
        <v>1</v>
      </c>
      <c r="K165" s="13">
        <v>0</v>
      </c>
      <c r="L165">
        <v>1</v>
      </c>
      <c r="M165" s="13">
        <v>0</v>
      </c>
      <c r="N165">
        <v>0</v>
      </c>
      <c r="O165">
        <v>0</v>
      </c>
      <c r="P165">
        <v>0</v>
      </c>
      <c r="Q165" s="13">
        <v>1</v>
      </c>
    </row>
    <row r="166" spans="1:17" x14ac:dyDescent="0.3">
      <c r="A166" t="s">
        <v>442</v>
      </c>
      <c r="B166">
        <v>0</v>
      </c>
      <c r="C166">
        <v>0</v>
      </c>
      <c r="D166" s="13">
        <v>0</v>
      </c>
      <c r="E166">
        <v>0</v>
      </c>
      <c r="F166">
        <v>0</v>
      </c>
      <c r="G166">
        <v>0</v>
      </c>
      <c r="H166">
        <v>0</v>
      </c>
      <c r="I166" s="13">
        <v>0</v>
      </c>
      <c r="J166" s="13">
        <v>0</v>
      </c>
      <c r="K166" s="13">
        <v>0</v>
      </c>
      <c r="L166">
        <v>0</v>
      </c>
      <c r="M166" s="13">
        <v>1</v>
      </c>
      <c r="N166">
        <v>1</v>
      </c>
      <c r="O166">
        <v>1</v>
      </c>
      <c r="P166">
        <v>1</v>
      </c>
      <c r="Q166" s="13">
        <v>0</v>
      </c>
    </row>
    <row r="167" spans="1:17" x14ac:dyDescent="0.3">
      <c r="A167" t="s">
        <v>437</v>
      </c>
      <c r="B167">
        <v>1</v>
      </c>
      <c r="C167">
        <v>0</v>
      </c>
      <c r="D167" s="13">
        <v>0</v>
      </c>
      <c r="E167">
        <v>0</v>
      </c>
      <c r="F167">
        <v>0</v>
      </c>
      <c r="G167">
        <v>0</v>
      </c>
      <c r="H167">
        <v>0</v>
      </c>
      <c r="I167" s="13">
        <v>0</v>
      </c>
      <c r="J167" s="13">
        <v>0</v>
      </c>
      <c r="K167" s="13">
        <v>1</v>
      </c>
      <c r="L167">
        <v>0</v>
      </c>
      <c r="M167" s="13">
        <v>0</v>
      </c>
      <c r="N167">
        <v>0</v>
      </c>
      <c r="O167">
        <v>0</v>
      </c>
      <c r="P167">
        <v>1</v>
      </c>
      <c r="Q167" s="13">
        <v>0</v>
      </c>
    </row>
    <row r="168" spans="1:17" x14ac:dyDescent="0.3">
      <c r="A168" t="s">
        <v>438</v>
      </c>
      <c r="B168">
        <v>0</v>
      </c>
      <c r="C168">
        <v>0</v>
      </c>
      <c r="D168" s="13">
        <v>0</v>
      </c>
      <c r="E168">
        <v>0</v>
      </c>
      <c r="F168">
        <v>1</v>
      </c>
      <c r="G168">
        <v>1</v>
      </c>
      <c r="H168">
        <v>0</v>
      </c>
      <c r="I168" s="13">
        <v>0</v>
      </c>
      <c r="J168" s="13">
        <v>0</v>
      </c>
      <c r="K168" s="13">
        <v>0</v>
      </c>
      <c r="L168">
        <v>1</v>
      </c>
      <c r="M168" s="13">
        <v>0</v>
      </c>
      <c r="N168">
        <v>1</v>
      </c>
      <c r="O168">
        <v>0</v>
      </c>
      <c r="P168">
        <v>0</v>
      </c>
      <c r="Q168" s="13">
        <v>0</v>
      </c>
    </row>
    <row r="169" spans="1:17" x14ac:dyDescent="0.3">
      <c r="A169" t="s">
        <v>439</v>
      </c>
      <c r="B169">
        <v>0</v>
      </c>
      <c r="C169">
        <v>1</v>
      </c>
      <c r="D169" s="13">
        <v>1</v>
      </c>
      <c r="E169">
        <v>1</v>
      </c>
      <c r="F169">
        <v>0</v>
      </c>
      <c r="G169">
        <v>0</v>
      </c>
      <c r="H169">
        <v>1</v>
      </c>
      <c r="I169" s="13">
        <v>0</v>
      </c>
      <c r="J169" s="13">
        <v>0</v>
      </c>
      <c r="K169" s="13">
        <v>0</v>
      </c>
      <c r="L169">
        <v>0</v>
      </c>
      <c r="M169" s="13">
        <v>1</v>
      </c>
      <c r="N169">
        <v>0</v>
      </c>
      <c r="O169">
        <v>0</v>
      </c>
      <c r="P169">
        <v>0</v>
      </c>
      <c r="Q169" s="13">
        <v>0</v>
      </c>
    </row>
    <row r="170" spans="1:17" x14ac:dyDescent="0.3">
      <c r="A170" t="s">
        <v>434</v>
      </c>
      <c r="B170">
        <v>1</v>
      </c>
      <c r="C170">
        <v>0</v>
      </c>
      <c r="D170" s="13">
        <v>0</v>
      </c>
      <c r="E170">
        <v>0</v>
      </c>
      <c r="F170">
        <v>0</v>
      </c>
      <c r="G170">
        <v>0</v>
      </c>
      <c r="H170">
        <v>0</v>
      </c>
      <c r="I170" s="13">
        <v>0</v>
      </c>
      <c r="J170" s="13">
        <v>0</v>
      </c>
      <c r="K170" s="13">
        <v>1</v>
      </c>
      <c r="L170">
        <v>0</v>
      </c>
      <c r="M170" s="13">
        <v>0</v>
      </c>
      <c r="N170">
        <v>0</v>
      </c>
      <c r="O170">
        <v>0</v>
      </c>
      <c r="P170">
        <v>0</v>
      </c>
      <c r="Q170" s="13">
        <v>0</v>
      </c>
    </row>
    <row r="171" spans="1:17" x14ac:dyDescent="0.3">
      <c r="A171" t="s">
        <v>435</v>
      </c>
      <c r="B171">
        <v>0</v>
      </c>
      <c r="C171">
        <v>0</v>
      </c>
      <c r="D171" s="13">
        <v>0</v>
      </c>
      <c r="E171">
        <v>1</v>
      </c>
      <c r="F171">
        <v>1</v>
      </c>
      <c r="G171">
        <v>1</v>
      </c>
      <c r="H171">
        <v>0</v>
      </c>
      <c r="I171" s="13">
        <v>0</v>
      </c>
      <c r="J171" s="13">
        <v>0</v>
      </c>
      <c r="K171" s="13">
        <v>0</v>
      </c>
      <c r="L171">
        <v>0</v>
      </c>
      <c r="M171" s="13">
        <v>0</v>
      </c>
      <c r="N171">
        <v>1</v>
      </c>
      <c r="O171">
        <v>0</v>
      </c>
      <c r="P171">
        <v>0</v>
      </c>
      <c r="Q171" s="13">
        <v>0</v>
      </c>
    </row>
    <row r="172" spans="1:17" x14ac:dyDescent="0.3">
      <c r="A172" t="s">
        <v>436</v>
      </c>
      <c r="B172">
        <v>0</v>
      </c>
      <c r="C172">
        <v>1</v>
      </c>
      <c r="D172" s="13">
        <v>1</v>
      </c>
      <c r="E172">
        <v>0</v>
      </c>
      <c r="F172">
        <v>0</v>
      </c>
      <c r="G172">
        <v>0</v>
      </c>
      <c r="H172">
        <v>1</v>
      </c>
      <c r="I172" s="13">
        <v>0</v>
      </c>
      <c r="J172" s="13">
        <v>0</v>
      </c>
      <c r="K172" s="13">
        <v>0</v>
      </c>
      <c r="L172">
        <v>1</v>
      </c>
      <c r="M172" s="13">
        <v>1</v>
      </c>
      <c r="N172">
        <v>0</v>
      </c>
      <c r="O172">
        <v>0</v>
      </c>
      <c r="P172">
        <v>0</v>
      </c>
      <c r="Q172" s="13">
        <v>0</v>
      </c>
    </row>
    <row r="173" spans="1:17" x14ac:dyDescent="0.3">
      <c r="A173" t="s">
        <v>431</v>
      </c>
      <c r="B173">
        <v>0</v>
      </c>
      <c r="C173">
        <v>0</v>
      </c>
      <c r="D173" s="13">
        <v>1</v>
      </c>
      <c r="E173">
        <v>0</v>
      </c>
      <c r="F173">
        <v>1</v>
      </c>
      <c r="G173">
        <v>1</v>
      </c>
      <c r="H173">
        <v>1</v>
      </c>
      <c r="I173" s="13">
        <v>1</v>
      </c>
      <c r="J173" s="13">
        <v>0</v>
      </c>
      <c r="K173" s="13">
        <v>0</v>
      </c>
      <c r="L173">
        <v>0</v>
      </c>
      <c r="M173" s="13">
        <v>0</v>
      </c>
      <c r="N173">
        <v>0</v>
      </c>
      <c r="O173">
        <v>0</v>
      </c>
      <c r="P173">
        <v>0</v>
      </c>
      <c r="Q173" s="13">
        <v>0</v>
      </c>
    </row>
    <row r="174" spans="1:17" x14ac:dyDescent="0.3">
      <c r="A174" t="s">
        <v>432</v>
      </c>
      <c r="B174">
        <v>1</v>
      </c>
      <c r="C174">
        <v>1</v>
      </c>
      <c r="D174" s="13">
        <v>0</v>
      </c>
      <c r="E174">
        <v>1</v>
      </c>
      <c r="F174">
        <v>0</v>
      </c>
      <c r="G174">
        <v>0</v>
      </c>
      <c r="H174">
        <v>0</v>
      </c>
      <c r="I174" s="13">
        <v>0</v>
      </c>
      <c r="J174" s="13">
        <v>0</v>
      </c>
      <c r="K174" s="13">
        <v>0</v>
      </c>
      <c r="L174">
        <v>0</v>
      </c>
      <c r="M174" s="13">
        <v>0</v>
      </c>
      <c r="N174">
        <v>0</v>
      </c>
      <c r="O174">
        <v>0</v>
      </c>
      <c r="P174">
        <v>0</v>
      </c>
      <c r="Q174" s="13">
        <v>0</v>
      </c>
    </row>
    <row r="175" spans="1:17" x14ac:dyDescent="0.3">
      <c r="A175" t="s">
        <v>433</v>
      </c>
      <c r="B175">
        <v>0</v>
      </c>
      <c r="C175">
        <v>0</v>
      </c>
      <c r="D175" s="13">
        <v>0</v>
      </c>
      <c r="E175">
        <v>0</v>
      </c>
      <c r="F175">
        <v>0</v>
      </c>
      <c r="G175">
        <v>0</v>
      </c>
      <c r="H175">
        <v>0</v>
      </c>
      <c r="I175" s="13">
        <v>0</v>
      </c>
      <c r="J175" s="13">
        <v>1</v>
      </c>
      <c r="K175" s="13">
        <v>0</v>
      </c>
      <c r="L175">
        <v>0</v>
      </c>
      <c r="M175" s="13">
        <v>0</v>
      </c>
      <c r="N175">
        <v>0</v>
      </c>
      <c r="O175">
        <v>1</v>
      </c>
      <c r="P175">
        <v>1</v>
      </c>
      <c r="Q175" s="13">
        <v>1</v>
      </c>
    </row>
    <row r="176" spans="1:17" x14ac:dyDescent="0.3">
      <c r="A176" t="s">
        <v>430</v>
      </c>
      <c r="B176">
        <v>1</v>
      </c>
      <c r="C176">
        <v>0</v>
      </c>
      <c r="D176" s="13">
        <v>0</v>
      </c>
      <c r="E176">
        <v>0</v>
      </c>
      <c r="F176">
        <v>1</v>
      </c>
      <c r="G176">
        <v>0</v>
      </c>
      <c r="H176">
        <v>0</v>
      </c>
      <c r="I176" s="13">
        <v>0</v>
      </c>
      <c r="J176" s="13">
        <v>1</v>
      </c>
      <c r="K176" s="13">
        <v>0</v>
      </c>
      <c r="L176">
        <v>0</v>
      </c>
      <c r="M176" s="13">
        <v>0</v>
      </c>
      <c r="N176">
        <v>1</v>
      </c>
      <c r="O176">
        <v>0</v>
      </c>
      <c r="P176">
        <v>0</v>
      </c>
      <c r="Q176" s="13">
        <v>0</v>
      </c>
    </row>
    <row r="177" spans="1:17" x14ac:dyDescent="0.3">
      <c r="A177" t="s">
        <v>427</v>
      </c>
      <c r="B177">
        <v>1</v>
      </c>
      <c r="C177">
        <v>0</v>
      </c>
      <c r="D177" s="13">
        <v>1</v>
      </c>
      <c r="E177">
        <v>0</v>
      </c>
      <c r="F177">
        <v>0</v>
      </c>
      <c r="G177">
        <v>0</v>
      </c>
      <c r="H177">
        <v>0</v>
      </c>
      <c r="I177" s="13">
        <v>0</v>
      </c>
      <c r="J177" s="13">
        <v>0</v>
      </c>
      <c r="K177" s="13">
        <v>1</v>
      </c>
      <c r="L177">
        <v>0</v>
      </c>
      <c r="M177" s="13">
        <v>0</v>
      </c>
      <c r="N177">
        <v>1</v>
      </c>
      <c r="O177">
        <v>0</v>
      </c>
      <c r="P177">
        <v>0</v>
      </c>
      <c r="Q177" s="13">
        <v>0</v>
      </c>
    </row>
    <row r="178" spans="1:17" x14ac:dyDescent="0.3">
      <c r="A178" t="s">
        <v>428</v>
      </c>
      <c r="B178">
        <v>0</v>
      </c>
      <c r="C178">
        <v>0</v>
      </c>
      <c r="D178" s="13">
        <v>0</v>
      </c>
      <c r="E178">
        <v>0</v>
      </c>
      <c r="F178">
        <v>0</v>
      </c>
      <c r="G178">
        <v>1</v>
      </c>
      <c r="H178">
        <v>1</v>
      </c>
      <c r="I178" s="13">
        <v>1</v>
      </c>
      <c r="J178" s="13">
        <v>1</v>
      </c>
      <c r="K178" s="13">
        <v>0</v>
      </c>
      <c r="L178">
        <v>0</v>
      </c>
      <c r="M178" s="13">
        <v>0</v>
      </c>
      <c r="N178">
        <v>0</v>
      </c>
      <c r="O178">
        <v>0</v>
      </c>
      <c r="P178">
        <v>0</v>
      </c>
      <c r="Q178" s="13">
        <v>0</v>
      </c>
    </row>
    <row r="179" spans="1:17" x14ac:dyDescent="0.3">
      <c r="A179" t="s">
        <v>429</v>
      </c>
      <c r="B179">
        <v>0</v>
      </c>
      <c r="C179">
        <v>0</v>
      </c>
      <c r="D179" s="13">
        <v>0</v>
      </c>
      <c r="E179">
        <v>1</v>
      </c>
      <c r="F179">
        <v>1</v>
      </c>
      <c r="G179">
        <v>0</v>
      </c>
      <c r="H179">
        <v>0</v>
      </c>
      <c r="I179" s="13">
        <v>0</v>
      </c>
      <c r="J179" s="13">
        <v>0</v>
      </c>
      <c r="K179" s="13">
        <v>0</v>
      </c>
      <c r="L179">
        <v>1</v>
      </c>
      <c r="M179" s="13">
        <v>0</v>
      </c>
      <c r="N179">
        <v>0</v>
      </c>
      <c r="O179">
        <v>0</v>
      </c>
      <c r="P179">
        <v>1</v>
      </c>
      <c r="Q179" s="13">
        <v>1</v>
      </c>
    </row>
    <row r="180" spans="1:17" x14ac:dyDescent="0.3">
      <c r="A180" t="s">
        <v>460</v>
      </c>
      <c r="B180">
        <v>0</v>
      </c>
      <c r="C180">
        <v>1</v>
      </c>
      <c r="D180" s="13">
        <v>1</v>
      </c>
      <c r="E180">
        <v>0</v>
      </c>
      <c r="F180">
        <v>0</v>
      </c>
      <c r="G180">
        <v>0</v>
      </c>
      <c r="H180">
        <v>0</v>
      </c>
      <c r="I180" s="13">
        <v>0</v>
      </c>
      <c r="J180" s="13">
        <v>1</v>
      </c>
      <c r="K180" s="13">
        <v>0</v>
      </c>
      <c r="L180">
        <v>0</v>
      </c>
      <c r="M180" s="13">
        <v>0</v>
      </c>
      <c r="N180">
        <v>0</v>
      </c>
      <c r="O180">
        <v>0</v>
      </c>
      <c r="P180">
        <v>1</v>
      </c>
      <c r="Q180" s="13">
        <v>0</v>
      </c>
    </row>
    <row r="181" spans="1:17" x14ac:dyDescent="0.3">
      <c r="A181" t="s">
        <v>461</v>
      </c>
      <c r="B181">
        <v>1</v>
      </c>
      <c r="C181">
        <v>0</v>
      </c>
      <c r="D181" s="13">
        <v>0</v>
      </c>
      <c r="E181">
        <v>1</v>
      </c>
      <c r="F181">
        <v>0</v>
      </c>
      <c r="G181">
        <v>0</v>
      </c>
      <c r="H181">
        <v>0</v>
      </c>
      <c r="I181" s="13">
        <v>0</v>
      </c>
      <c r="J181" s="13">
        <v>0</v>
      </c>
      <c r="K181" s="13">
        <v>0</v>
      </c>
      <c r="L181">
        <v>0</v>
      </c>
      <c r="M181" s="13">
        <v>0</v>
      </c>
      <c r="N181">
        <v>0</v>
      </c>
      <c r="O181">
        <v>0</v>
      </c>
      <c r="P181">
        <v>0</v>
      </c>
      <c r="Q181" s="13">
        <v>1</v>
      </c>
    </row>
    <row r="182" spans="1:17" x14ac:dyDescent="0.3">
      <c r="A182" t="s">
        <v>462</v>
      </c>
      <c r="B182">
        <v>0</v>
      </c>
      <c r="C182">
        <v>0</v>
      </c>
      <c r="D182" s="13">
        <v>0</v>
      </c>
      <c r="E182">
        <v>0</v>
      </c>
      <c r="F182">
        <v>1</v>
      </c>
      <c r="G182">
        <v>1</v>
      </c>
      <c r="H182">
        <v>1</v>
      </c>
      <c r="I182" s="13">
        <v>1</v>
      </c>
      <c r="J182" s="13">
        <v>0</v>
      </c>
      <c r="K182" s="13">
        <v>0</v>
      </c>
      <c r="L182">
        <v>1</v>
      </c>
      <c r="M182" s="13">
        <v>0</v>
      </c>
      <c r="N182">
        <v>0</v>
      </c>
      <c r="O182">
        <v>0</v>
      </c>
      <c r="P182">
        <v>0</v>
      </c>
      <c r="Q182" s="13">
        <v>0</v>
      </c>
    </row>
    <row r="183" spans="1:17" x14ac:dyDescent="0.3">
      <c r="A183" t="s">
        <v>457</v>
      </c>
      <c r="B183">
        <v>1</v>
      </c>
      <c r="C183">
        <v>0</v>
      </c>
      <c r="D183" s="13">
        <v>0</v>
      </c>
      <c r="E183">
        <v>0</v>
      </c>
      <c r="F183">
        <v>1</v>
      </c>
      <c r="G183">
        <v>0</v>
      </c>
      <c r="H183">
        <v>0</v>
      </c>
      <c r="I183" s="13">
        <v>0</v>
      </c>
      <c r="J183" s="13">
        <v>1</v>
      </c>
      <c r="K183" s="13">
        <v>0</v>
      </c>
      <c r="L183">
        <v>0</v>
      </c>
      <c r="M183" s="13">
        <v>1</v>
      </c>
      <c r="N183">
        <v>0</v>
      </c>
      <c r="O183">
        <v>0</v>
      </c>
      <c r="P183">
        <v>0</v>
      </c>
      <c r="Q183" s="13">
        <v>1</v>
      </c>
    </row>
    <row r="184" spans="1:17" x14ac:dyDescent="0.3">
      <c r="A184" t="s">
        <v>458</v>
      </c>
      <c r="B184">
        <v>0</v>
      </c>
      <c r="C184">
        <v>0</v>
      </c>
      <c r="D184" s="13">
        <v>0</v>
      </c>
      <c r="E184">
        <v>0</v>
      </c>
      <c r="F184">
        <v>0</v>
      </c>
      <c r="G184">
        <v>0</v>
      </c>
      <c r="H184">
        <v>1</v>
      </c>
      <c r="I184" s="13">
        <v>0</v>
      </c>
      <c r="J184" s="13">
        <v>0</v>
      </c>
      <c r="K184" s="13">
        <v>1</v>
      </c>
      <c r="L184">
        <v>1</v>
      </c>
      <c r="M184" s="13">
        <v>0</v>
      </c>
      <c r="N184">
        <v>0</v>
      </c>
      <c r="O184">
        <v>0</v>
      </c>
      <c r="P184">
        <v>0</v>
      </c>
      <c r="Q184" s="13">
        <v>0</v>
      </c>
    </row>
    <row r="185" spans="1:17" x14ac:dyDescent="0.3">
      <c r="A185" t="s">
        <v>459</v>
      </c>
      <c r="B185">
        <v>0</v>
      </c>
      <c r="C185">
        <v>0</v>
      </c>
      <c r="D185" s="13">
        <v>0</v>
      </c>
      <c r="E185">
        <v>0</v>
      </c>
      <c r="F185">
        <v>0</v>
      </c>
      <c r="G185">
        <v>0</v>
      </c>
      <c r="H185">
        <v>0</v>
      </c>
      <c r="I185" s="13">
        <v>1</v>
      </c>
      <c r="J185" s="13">
        <v>0</v>
      </c>
      <c r="K185" s="13">
        <v>0</v>
      </c>
      <c r="L185">
        <v>0</v>
      </c>
      <c r="M185" s="13">
        <v>0</v>
      </c>
      <c r="N185">
        <v>1</v>
      </c>
      <c r="O185">
        <v>1</v>
      </c>
      <c r="P185">
        <v>1</v>
      </c>
      <c r="Q185" s="13">
        <v>0</v>
      </c>
    </row>
    <row r="186" spans="1:17" x14ac:dyDescent="0.3">
      <c r="A186" t="s">
        <v>456</v>
      </c>
      <c r="B186">
        <v>1</v>
      </c>
      <c r="C186">
        <v>0</v>
      </c>
      <c r="D186" s="13">
        <v>0</v>
      </c>
      <c r="E186">
        <v>0</v>
      </c>
      <c r="F186">
        <v>1</v>
      </c>
      <c r="G186">
        <v>0</v>
      </c>
      <c r="H186">
        <v>0</v>
      </c>
      <c r="I186" s="13">
        <v>0</v>
      </c>
      <c r="J186" s="13">
        <v>1</v>
      </c>
      <c r="K186" s="13">
        <v>0</v>
      </c>
      <c r="L186">
        <v>0</v>
      </c>
      <c r="M186" s="13">
        <v>0</v>
      </c>
      <c r="N186">
        <v>1</v>
      </c>
      <c r="O186">
        <v>0</v>
      </c>
      <c r="P186">
        <v>0</v>
      </c>
      <c r="Q186" s="13">
        <v>0</v>
      </c>
    </row>
    <row r="187" spans="1:17" x14ac:dyDescent="0.3">
      <c r="A187" t="s">
        <v>455</v>
      </c>
      <c r="B187">
        <v>1</v>
      </c>
      <c r="C187">
        <v>0</v>
      </c>
      <c r="D187" s="13">
        <v>0</v>
      </c>
      <c r="E187">
        <v>0</v>
      </c>
      <c r="F187">
        <v>1</v>
      </c>
      <c r="G187">
        <v>0</v>
      </c>
      <c r="H187">
        <v>0</v>
      </c>
      <c r="I187" s="13">
        <v>0</v>
      </c>
      <c r="J187" s="13">
        <v>1</v>
      </c>
      <c r="K187" s="13">
        <v>0</v>
      </c>
      <c r="L187">
        <v>0</v>
      </c>
      <c r="M187" s="13">
        <v>0</v>
      </c>
      <c r="N187">
        <v>1</v>
      </c>
      <c r="O187">
        <v>0</v>
      </c>
      <c r="P187">
        <v>0</v>
      </c>
      <c r="Q187" s="13">
        <v>0</v>
      </c>
    </row>
    <row r="188" spans="1:17" x14ac:dyDescent="0.3">
      <c r="A188" t="s">
        <v>476</v>
      </c>
      <c r="B188">
        <v>0</v>
      </c>
      <c r="C188">
        <v>0</v>
      </c>
      <c r="D188" s="13">
        <v>0</v>
      </c>
      <c r="E188">
        <v>0</v>
      </c>
      <c r="F188">
        <v>0</v>
      </c>
      <c r="G188">
        <v>0</v>
      </c>
      <c r="H188">
        <v>0</v>
      </c>
      <c r="I188" s="13">
        <v>0</v>
      </c>
      <c r="J188" s="13">
        <v>1</v>
      </c>
      <c r="K188" s="13">
        <v>0</v>
      </c>
      <c r="L188">
        <v>1</v>
      </c>
      <c r="M188" s="13">
        <v>1</v>
      </c>
      <c r="N188">
        <v>0</v>
      </c>
      <c r="O188">
        <v>1</v>
      </c>
      <c r="P188">
        <v>0</v>
      </c>
      <c r="Q188" s="13">
        <v>0</v>
      </c>
    </row>
    <row r="189" spans="1:17" x14ac:dyDescent="0.3">
      <c r="A189" t="s">
        <v>477</v>
      </c>
      <c r="B189">
        <v>0</v>
      </c>
      <c r="C189">
        <v>0</v>
      </c>
      <c r="D189" s="13">
        <v>0</v>
      </c>
      <c r="E189">
        <v>0</v>
      </c>
      <c r="F189">
        <v>1</v>
      </c>
      <c r="G189">
        <v>1</v>
      </c>
      <c r="H189">
        <v>1</v>
      </c>
      <c r="I189" s="13">
        <v>0</v>
      </c>
      <c r="J189" s="13">
        <v>0</v>
      </c>
      <c r="K189" s="13">
        <v>1</v>
      </c>
      <c r="L189">
        <v>0</v>
      </c>
      <c r="M189" s="13">
        <v>0</v>
      </c>
      <c r="N189">
        <v>0</v>
      </c>
      <c r="O189">
        <v>0</v>
      </c>
      <c r="P189">
        <v>0</v>
      </c>
      <c r="Q189" s="13">
        <v>0</v>
      </c>
    </row>
    <row r="190" spans="1:17" x14ac:dyDescent="0.3">
      <c r="A190" t="s">
        <v>478</v>
      </c>
      <c r="B190">
        <v>1</v>
      </c>
      <c r="C190">
        <v>1</v>
      </c>
      <c r="D190" s="13">
        <v>1</v>
      </c>
      <c r="E190">
        <v>1</v>
      </c>
      <c r="F190">
        <v>0</v>
      </c>
      <c r="G190">
        <v>0</v>
      </c>
      <c r="H190">
        <v>0</v>
      </c>
      <c r="I190" s="13">
        <v>0</v>
      </c>
      <c r="J190" s="13">
        <v>0</v>
      </c>
      <c r="K190" s="13">
        <v>0</v>
      </c>
      <c r="L190">
        <v>0</v>
      </c>
      <c r="M190" s="13">
        <v>0</v>
      </c>
      <c r="N190">
        <v>0</v>
      </c>
      <c r="O190">
        <v>0</v>
      </c>
      <c r="P190">
        <v>0</v>
      </c>
      <c r="Q190" s="13">
        <v>0</v>
      </c>
    </row>
    <row r="191" spans="1:17" x14ac:dyDescent="0.3">
      <c r="A191" t="s">
        <v>473</v>
      </c>
      <c r="B191">
        <v>0</v>
      </c>
      <c r="C191">
        <v>0</v>
      </c>
      <c r="D191" s="13">
        <v>1</v>
      </c>
      <c r="E191">
        <v>0</v>
      </c>
      <c r="F191">
        <v>0</v>
      </c>
      <c r="G191">
        <v>0</v>
      </c>
      <c r="H191">
        <v>0</v>
      </c>
      <c r="I191" s="13">
        <v>0</v>
      </c>
      <c r="J191" s="13">
        <v>0</v>
      </c>
      <c r="K191" s="13">
        <v>1</v>
      </c>
      <c r="L191">
        <v>0</v>
      </c>
      <c r="M191" s="13">
        <v>0</v>
      </c>
      <c r="N191">
        <v>0</v>
      </c>
      <c r="O191">
        <v>0</v>
      </c>
      <c r="P191">
        <v>1</v>
      </c>
      <c r="Q191" s="13">
        <v>0</v>
      </c>
    </row>
    <row r="192" spans="1:17" x14ac:dyDescent="0.3">
      <c r="A192" t="s">
        <v>474</v>
      </c>
      <c r="B192">
        <v>1</v>
      </c>
      <c r="C192">
        <v>1</v>
      </c>
      <c r="D192" s="13">
        <v>0</v>
      </c>
      <c r="E192">
        <v>1</v>
      </c>
      <c r="F192">
        <v>0</v>
      </c>
      <c r="G192">
        <v>0</v>
      </c>
      <c r="H192">
        <v>0</v>
      </c>
      <c r="I192" s="13">
        <v>0</v>
      </c>
      <c r="J192" s="13">
        <v>1</v>
      </c>
      <c r="K192" s="13">
        <v>0</v>
      </c>
      <c r="L192">
        <v>0</v>
      </c>
      <c r="M192" s="13">
        <v>0</v>
      </c>
      <c r="N192">
        <v>0</v>
      </c>
      <c r="O192">
        <v>0</v>
      </c>
      <c r="P192">
        <v>0</v>
      </c>
      <c r="Q192" s="13">
        <v>0</v>
      </c>
    </row>
    <row r="193" spans="1:17" x14ac:dyDescent="0.3">
      <c r="A193" t="s">
        <v>475</v>
      </c>
      <c r="B193">
        <v>0</v>
      </c>
      <c r="C193">
        <v>0</v>
      </c>
      <c r="D193" s="13">
        <v>0</v>
      </c>
      <c r="E193">
        <v>0</v>
      </c>
      <c r="F193">
        <v>1</v>
      </c>
      <c r="G193">
        <v>1</v>
      </c>
      <c r="H193">
        <v>1</v>
      </c>
      <c r="I193" s="13">
        <v>1</v>
      </c>
      <c r="J193" s="13">
        <v>0</v>
      </c>
      <c r="K193" s="13">
        <v>0</v>
      </c>
      <c r="L193">
        <v>1</v>
      </c>
      <c r="M193" s="13">
        <v>0</v>
      </c>
      <c r="N193">
        <v>0</v>
      </c>
      <c r="O193">
        <v>0</v>
      </c>
      <c r="P193">
        <v>0</v>
      </c>
      <c r="Q193" s="13">
        <v>0</v>
      </c>
    </row>
    <row r="194" spans="1:17" x14ac:dyDescent="0.3">
      <c r="A194" t="s">
        <v>472</v>
      </c>
      <c r="B194">
        <v>0</v>
      </c>
      <c r="C194">
        <v>1</v>
      </c>
      <c r="D194" s="13">
        <v>1</v>
      </c>
      <c r="E194">
        <v>1</v>
      </c>
      <c r="F194">
        <v>0</v>
      </c>
      <c r="G194">
        <v>1</v>
      </c>
      <c r="H194">
        <v>1</v>
      </c>
      <c r="I194" s="13">
        <v>1</v>
      </c>
      <c r="J194" s="13">
        <v>0</v>
      </c>
      <c r="K194" s="13">
        <v>1</v>
      </c>
      <c r="L194">
        <v>1</v>
      </c>
      <c r="M194" s="13">
        <v>1</v>
      </c>
      <c r="N194">
        <v>0</v>
      </c>
      <c r="O194">
        <v>1</v>
      </c>
      <c r="P194">
        <v>1</v>
      </c>
      <c r="Q194" s="13">
        <v>1</v>
      </c>
    </row>
    <row r="195" spans="1:17" x14ac:dyDescent="0.3">
      <c r="A195" t="s">
        <v>469</v>
      </c>
      <c r="B195">
        <v>0</v>
      </c>
      <c r="C195">
        <v>0</v>
      </c>
      <c r="D195" s="13">
        <v>0</v>
      </c>
      <c r="E195">
        <v>0</v>
      </c>
      <c r="F195">
        <v>0</v>
      </c>
      <c r="G195">
        <v>0</v>
      </c>
      <c r="H195">
        <v>0</v>
      </c>
      <c r="I195" s="13">
        <v>0</v>
      </c>
      <c r="J195" s="13">
        <v>0</v>
      </c>
      <c r="K195" s="13">
        <v>1</v>
      </c>
      <c r="L195">
        <v>1</v>
      </c>
      <c r="M195" s="13">
        <v>1</v>
      </c>
      <c r="N195">
        <v>0</v>
      </c>
      <c r="O195">
        <v>0</v>
      </c>
      <c r="P195">
        <v>0</v>
      </c>
      <c r="Q195" s="13">
        <v>1</v>
      </c>
    </row>
    <row r="196" spans="1:17" x14ac:dyDescent="0.3">
      <c r="A196" t="s">
        <v>470</v>
      </c>
      <c r="B196">
        <v>1</v>
      </c>
      <c r="C196">
        <v>0</v>
      </c>
      <c r="D196" s="13">
        <v>0</v>
      </c>
      <c r="E196">
        <v>0</v>
      </c>
      <c r="F196">
        <v>0</v>
      </c>
      <c r="G196">
        <v>0</v>
      </c>
      <c r="H196">
        <v>1</v>
      </c>
      <c r="I196" s="13">
        <v>1</v>
      </c>
      <c r="J196" s="13">
        <v>1</v>
      </c>
      <c r="K196" s="13">
        <v>0</v>
      </c>
      <c r="L196">
        <v>0</v>
      </c>
      <c r="M196" s="13">
        <v>0</v>
      </c>
      <c r="N196">
        <v>0</v>
      </c>
      <c r="O196">
        <v>0</v>
      </c>
      <c r="P196">
        <v>0</v>
      </c>
      <c r="Q196" s="13">
        <v>0</v>
      </c>
    </row>
    <row r="197" spans="1:17" x14ac:dyDescent="0.3">
      <c r="A197" t="s">
        <v>471</v>
      </c>
      <c r="B197">
        <v>0</v>
      </c>
      <c r="C197">
        <v>1</v>
      </c>
      <c r="D197" s="13">
        <v>1</v>
      </c>
      <c r="E197">
        <v>1</v>
      </c>
      <c r="F197">
        <v>1</v>
      </c>
      <c r="G197">
        <v>0</v>
      </c>
      <c r="H197">
        <v>0</v>
      </c>
      <c r="I197" s="13">
        <v>0</v>
      </c>
      <c r="J197" s="13">
        <v>0</v>
      </c>
      <c r="K197" s="13">
        <v>0</v>
      </c>
      <c r="L197">
        <v>0</v>
      </c>
      <c r="M197" s="13">
        <v>0</v>
      </c>
      <c r="N197">
        <v>0</v>
      </c>
      <c r="O197">
        <v>0</v>
      </c>
      <c r="P197">
        <v>0</v>
      </c>
      <c r="Q197" s="13">
        <v>0</v>
      </c>
    </row>
    <row r="198" spans="1:17" x14ac:dyDescent="0.3">
      <c r="A198" t="s">
        <v>466</v>
      </c>
      <c r="B198">
        <v>0</v>
      </c>
      <c r="C198">
        <v>0</v>
      </c>
      <c r="D198" s="13">
        <v>0</v>
      </c>
      <c r="E198">
        <v>1</v>
      </c>
      <c r="F198">
        <v>0</v>
      </c>
      <c r="G198">
        <v>0</v>
      </c>
      <c r="H198">
        <v>0</v>
      </c>
      <c r="I198" s="13">
        <v>0</v>
      </c>
      <c r="J198" s="13">
        <v>0</v>
      </c>
      <c r="K198" s="13">
        <v>0</v>
      </c>
      <c r="L198">
        <v>0</v>
      </c>
      <c r="M198" s="13">
        <v>1</v>
      </c>
      <c r="N198">
        <v>0</v>
      </c>
      <c r="O198">
        <v>0</v>
      </c>
      <c r="P198">
        <v>0</v>
      </c>
      <c r="Q198" s="13">
        <v>1</v>
      </c>
    </row>
    <row r="199" spans="1:17" x14ac:dyDescent="0.3">
      <c r="A199" t="s">
        <v>467</v>
      </c>
      <c r="B199">
        <v>0</v>
      </c>
      <c r="C199">
        <v>0</v>
      </c>
      <c r="D199" s="13">
        <v>1</v>
      </c>
      <c r="E199">
        <v>0</v>
      </c>
      <c r="F199">
        <v>0</v>
      </c>
      <c r="G199">
        <v>0</v>
      </c>
      <c r="H199">
        <v>0</v>
      </c>
      <c r="I199" s="13">
        <v>1</v>
      </c>
      <c r="J199" s="13">
        <v>0</v>
      </c>
      <c r="K199" s="13">
        <v>0</v>
      </c>
      <c r="L199">
        <v>1</v>
      </c>
      <c r="M199" s="13">
        <v>0</v>
      </c>
      <c r="N199">
        <v>0</v>
      </c>
      <c r="O199">
        <v>0</v>
      </c>
      <c r="P199">
        <v>1</v>
      </c>
      <c r="Q199" s="13">
        <v>0</v>
      </c>
    </row>
    <row r="200" spans="1:17" x14ac:dyDescent="0.3">
      <c r="A200" t="s">
        <v>468</v>
      </c>
      <c r="B200">
        <v>0</v>
      </c>
      <c r="C200">
        <v>1</v>
      </c>
      <c r="D200" s="13">
        <v>0</v>
      </c>
      <c r="E200">
        <v>0</v>
      </c>
      <c r="F200">
        <v>0</v>
      </c>
      <c r="G200">
        <v>1</v>
      </c>
      <c r="H200">
        <v>1</v>
      </c>
      <c r="I200" s="13">
        <v>0</v>
      </c>
      <c r="J200" s="13">
        <v>0</v>
      </c>
      <c r="K200" s="13">
        <v>1</v>
      </c>
      <c r="L200">
        <v>0</v>
      </c>
      <c r="M200" s="13">
        <v>0</v>
      </c>
      <c r="N200">
        <v>0</v>
      </c>
      <c r="O200">
        <v>1</v>
      </c>
      <c r="P200">
        <v>0</v>
      </c>
      <c r="Q200" s="13">
        <v>0</v>
      </c>
    </row>
    <row r="201" spans="1:17" x14ac:dyDescent="0.3">
      <c r="A201" t="s">
        <v>463</v>
      </c>
      <c r="B201">
        <v>1</v>
      </c>
      <c r="C201">
        <v>0</v>
      </c>
      <c r="D201" s="13">
        <v>0</v>
      </c>
      <c r="E201">
        <v>0</v>
      </c>
      <c r="F201">
        <v>0</v>
      </c>
      <c r="G201">
        <v>0</v>
      </c>
      <c r="H201">
        <v>0</v>
      </c>
      <c r="I201" s="13">
        <v>0</v>
      </c>
      <c r="J201" s="13">
        <v>1</v>
      </c>
      <c r="K201" s="13">
        <v>0</v>
      </c>
      <c r="L201">
        <v>0</v>
      </c>
      <c r="M201" s="13">
        <v>1</v>
      </c>
      <c r="N201">
        <v>0</v>
      </c>
      <c r="O201">
        <v>0</v>
      </c>
      <c r="P201">
        <v>0</v>
      </c>
      <c r="Q201" s="13">
        <v>0</v>
      </c>
    </row>
    <row r="202" spans="1:17" x14ac:dyDescent="0.3">
      <c r="A202" t="s">
        <v>464</v>
      </c>
      <c r="B202">
        <v>0</v>
      </c>
      <c r="C202">
        <v>0</v>
      </c>
      <c r="D202" s="13">
        <v>0</v>
      </c>
      <c r="E202">
        <v>0</v>
      </c>
      <c r="F202">
        <v>0</v>
      </c>
      <c r="G202">
        <v>0</v>
      </c>
      <c r="H202">
        <v>1</v>
      </c>
      <c r="I202" s="13">
        <v>1</v>
      </c>
      <c r="J202" s="13">
        <v>0</v>
      </c>
      <c r="K202" s="13">
        <v>1</v>
      </c>
      <c r="L202">
        <v>1</v>
      </c>
      <c r="M202" s="13">
        <v>0</v>
      </c>
      <c r="N202">
        <v>0</v>
      </c>
      <c r="O202">
        <v>0</v>
      </c>
      <c r="P202">
        <v>0</v>
      </c>
      <c r="Q202" s="13">
        <v>0</v>
      </c>
    </row>
    <row r="203" spans="1:17" x14ac:dyDescent="0.3">
      <c r="A203" t="s">
        <v>465</v>
      </c>
      <c r="B203">
        <v>0</v>
      </c>
      <c r="C203">
        <v>0</v>
      </c>
      <c r="D203" s="13">
        <v>0</v>
      </c>
      <c r="E203">
        <v>0</v>
      </c>
      <c r="F203">
        <v>0</v>
      </c>
      <c r="G203">
        <v>0</v>
      </c>
      <c r="H203">
        <v>0</v>
      </c>
      <c r="I203" s="13">
        <v>0</v>
      </c>
      <c r="J203" s="13">
        <v>0</v>
      </c>
      <c r="K203" s="13">
        <v>0</v>
      </c>
      <c r="L203">
        <v>0</v>
      </c>
      <c r="M203" s="13">
        <v>0</v>
      </c>
      <c r="N203">
        <v>1</v>
      </c>
      <c r="O203">
        <v>1</v>
      </c>
      <c r="P203">
        <v>1</v>
      </c>
      <c r="Q203" s="13">
        <v>1</v>
      </c>
    </row>
    <row r="204" spans="1:17" x14ac:dyDescent="0.3">
      <c r="A204" s="8" t="s">
        <v>276</v>
      </c>
      <c r="B204" s="8">
        <v>0</v>
      </c>
      <c r="C204" s="8">
        <v>0</v>
      </c>
      <c r="D204" s="13">
        <v>1</v>
      </c>
      <c r="E204" s="8">
        <v>0</v>
      </c>
      <c r="F204" s="8">
        <v>0</v>
      </c>
      <c r="G204" s="8">
        <v>0</v>
      </c>
      <c r="H204" s="8">
        <v>0</v>
      </c>
      <c r="I204" s="13">
        <v>1</v>
      </c>
      <c r="J204" s="13">
        <v>1</v>
      </c>
      <c r="K204" s="13">
        <v>1</v>
      </c>
      <c r="L204" s="8">
        <v>0</v>
      </c>
      <c r="M204" s="13">
        <v>1</v>
      </c>
      <c r="N204" s="8">
        <v>0</v>
      </c>
      <c r="O204" s="8">
        <v>0</v>
      </c>
      <c r="P204" s="8">
        <v>0</v>
      </c>
      <c r="Q204" s="1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40099-E45D-4B94-A3EC-4D24894BD99D}">
  <dimension ref="A1:Q172"/>
  <sheetViews>
    <sheetView tabSelected="1" topLeftCell="A79" workbookViewId="0">
      <selection activeCell="A173" sqref="A173"/>
    </sheetView>
  </sheetViews>
  <sheetFormatPr defaultRowHeight="14.4" x14ac:dyDescent="0.3"/>
  <cols>
    <col min="1" max="1" width="9.88671875" bestFit="1" customWidth="1"/>
  </cols>
  <sheetData>
    <row r="1" spans="1:17" x14ac:dyDescent="0.3">
      <c r="A1" t="s">
        <v>270</v>
      </c>
      <c r="B1" s="2">
        <v>45352</v>
      </c>
      <c r="C1" s="2">
        <v>45261</v>
      </c>
      <c r="D1" s="12">
        <v>45170</v>
      </c>
      <c r="E1" s="2">
        <v>45078</v>
      </c>
      <c r="F1" s="2">
        <v>44986</v>
      </c>
      <c r="G1" s="2">
        <v>44896</v>
      </c>
      <c r="H1" s="2">
        <v>44805</v>
      </c>
      <c r="I1" s="12">
        <v>44713</v>
      </c>
      <c r="J1" s="12">
        <v>44621</v>
      </c>
      <c r="K1" s="12">
        <v>44531</v>
      </c>
      <c r="L1" s="2">
        <v>44440</v>
      </c>
      <c r="M1" s="12">
        <v>44348</v>
      </c>
      <c r="N1" s="2">
        <v>44256</v>
      </c>
      <c r="O1" s="2">
        <v>44166</v>
      </c>
      <c r="P1" s="2">
        <v>44075</v>
      </c>
      <c r="Q1" s="12">
        <v>43983</v>
      </c>
    </row>
    <row r="2" spans="1:17" x14ac:dyDescent="0.3">
      <c r="A2" t="s">
        <v>277</v>
      </c>
      <c r="B2">
        <v>0</v>
      </c>
      <c r="C2">
        <v>1</v>
      </c>
      <c r="D2" s="13">
        <v>1</v>
      </c>
      <c r="E2">
        <v>1</v>
      </c>
      <c r="F2">
        <v>0</v>
      </c>
      <c r="G2">
        <v>0</v>
      </c>
      <c r="H2">
        <v>0</v>
      </c>
      <c r="I2" s="13">
        <v>0</v>
      </c>
      <c r="J2" s="13">
        <v>0</v>
      </c>
      <c r="K2" s="13">
        <v>0</v>
      </c>
      <c r="L2">
        <v>0</v>
      </c>
      <c r="M2" s="13">
        <v>1</v>
      </c>
      <c r="N2">
        <v>0</v>
      </c>
      <c r="O2">
        <v>0</v>
      </c>
      <c r="P2">
        <v>0</v>
      </c>
      <c r="Q2" s="13">
        <v>0</v>
      </c>
    </row>
    <row r="3" spans="1:17" x14ac:dyDescent="0.3">
      <c r="A3" t="s">
        <v>278</v>
      </c>
      <c r="B3">
        <v>1</v>
      </c>
      <c r="C3">
        <v>0</v>
      </c>
      <c r="D3" s="13">
        <v>0</v>
      </c>
      <c r="E3">
        <v>0</v>
      </c>
      <c r="F3">
        <v>0</v>
      </c>
      <c r="G3">
        <v>0</v>
      </c>
      <c r="H3">
        <v>0</v>
      </c>
      <c r="I3" s="13">
        <v>0</v>
      </c>
      <c r="J3" s="13">
        <v>0</v>
      </c>
      <c r="K3" s="13">
        <v>1</v>
      </c>
      <c r="L3">
        <v>1</v>
      </c>
      <c r="M3" s="13">
        <v>0</v>
      </c>
      <c r="N3">
        <v>1</v>
      </c>
      <c r="O3">
        <v>1</v>
      </c>
      <c r="P3">
        <v>1</v>
      </c>
      <c r="Q3" s="13">
        <v>1</v>
      </c>
    </row>
    <row r="4" spans="1:17" s="6" customFormat="1" x14ac:dyDescent="0.3">
      <c r="A4" s="6" t="s">
        <v>280</v>
      </c>
      <c r="B4" s="6">
        <v>1</v>
      </c>
      <c r="C4" s="6">
        <v>1</v>
      </c>
      <c r="D4" s="15">
        <v>0</v>
      </c>
      <c r="E4" s="6">
        <v>1</v>
      </c>
      <c r="F4" s="6">
        <v>1</v>
      </c>
      <c r="G4" s="6">
        <v>1</v>
      </c>
      <c r="H4" s="6">
        <v>1</v>
      </c>
      <c r="I4" s="15">
        <v>0</v>
      </c>
      <c r="J4" s="15">
        <v>0</v>
      </c>
      <c r="K4" s="15">
        <v>0</v>
      </c>
      <c r="L4" s="6">
        <v>1</v>
      </c>
      <c r="M4" s="15">
        <v>1</v>
      </c>
      <c r="N4" s="6">
        <v>0</v>
      </c>
      <c r="O4" s="6">
        <v>0</v>
      </c>
      <c r="P4" s="6">
        <v>0</v>
      </c>
      <c r="Q4" s="15">
        <v>0</v>
      </c>
    </row>
    <row r="5" spans="1:17" s="6" customFormat="1" x14ac:dyDescent="0.3">
      <c r="A5" s="6" t="s">
        <v>282</v>
      </c>
      <c r="B5" s="6">
        <v>0</v>
      </c>
      <c r="C5" s="6">
        <v>0</v>
      </c>
      <c r="D5" s="15">
        <v>1</v>
      </c>
      <c r="E5" s="6">
        <v>0</v>
      </c>
      <c r="F5" s="6">
        <v>0</v>
      </c>
      <c r="G5" s="6">
        <v>0</v>
      </c>
      <c r="H5" s="6">
        <v>0</v>
      </c>
      <c r="I5" s="15">
        <v>0</v>
      </c>
      <c r="J5" s="15">
        <v>0</v>
      </c>
      <c r="K5" s="15">
        <v>1</v>
      </c>
      <c r="L5" s="6">
        <v>0</v>
      </c>
      <c r="M5" s="15">
        <v>0</v>
      </c>
      <c r="N5" s="6">
        <v>0</v>
      </c>
      <c r="O5" s="6">
        <v>1</v>
      </c>
      <c r="P5" s="6">
        <v>0</v>
      </c>
      <c r="Q5" s="15">
        <v>0</v>
      </c>
    </row>
    <row r="6" spans="1:17" s="6" customFormat="1" x14ac:dyDescent="0.3">
      <c r="A6" s="6" t="s">
        <v>283</v>
      </c>
      <c r="B6" s="6">
        <v>0</v>
      </c>
      <c r="C6" s="6">
        <v>0</v>
      </c>
      <c r="D6" s="15">
        <v>0</v>
      </c>
      <c r="E6" s="6">
        <v>0</v>
      </c>
      <c r="F6" s="6">
        <v>0</v>
      </c>
      <c r="G6" s="6">
        <v>0</v>
      </c>
      <c r="H6" s="6">
        <v>0</v>
      </c>
      <c r="I6" s="15">
        <v>0</v>
      </c>
      <c r="J6" s="15">
        <v>0</v>
      </c>
      <c r="K6" s="15">
        <v>0</v>
      </c>
      <c r="L6" s="6">
        <v>1</v>
      </c>
      <c r="M6" s="15">
        <v>1</v>
      </c>
      <c r="N6" s="6">
        <v>1</v>
      </c>
      <c r="O6" s="6">
        <v>0</v>
      </c>
      <c r="P6" s="6">
        <v>0</v>
      </c>
      <c r="Q6" s="15">
        <v>0</v>
      </c>
    </row>
    <row r="7" spans="1:17" s="6" customFormat="1" x14ac:dyDescent="0.3">
      <c r="A7" s="6" t="s">
        <v>284</v>
      </c>
      <c r="B7" s="6">
        <v>1</v>
      </c>
      <c r="C7" s="6">
        <v>1</v>
      </c>
      <c r="D7" s="15">
        <v>1</v>
      </c>
      <c r="E7" s="6">
        <v>1</v>
      </c>
      <c r="F7" s="6">
        <v>0</v>
      </c>
      <c r="G7" s="6">
        <v>0</v>
      </c>
      <c r="H7" s="6">
        <v>0</v>
      </c>
      <c r="I7" s="15">
        <v>0</v>
      </c>
      <c r="J7" s="15">
        <v>0</v>
      </c>
      <c r="K7" s="15">
        <v>0</v>
      </c>
      <c r="L7" s="6">
        <v>0</v>
      </c>
      <c r="M7" s="15">
        <v>0</v>
      </c>
      <c r="N7" s="6">
        <v>0</v>
      </c>
      <c r="O7" s="6">
        <v>0</v>
      </c>
      <c r="P7" s="6">
        <v>0</v>
      </c>
      <c r="Q7" s="15">
        <v>0</v>
      </c>
    </row>
    <row r="8" spans="1:17" s="6" customFormat="1" x14ac:dyDescent="0.3">
      <c r="A8" s="6" t="s">
        <v>285</v>
      </c>
      <c r="B8" s="6">
        <v>0</v>
      </c>
      <c r="C8" s="6">
        <v>0</v>
      </c>
      <c r="D8" s="15">
        <v>0</v>
      </c>
      <c r="E8" s="6">
        <v>0</v>
      </c>
      <c r="F8" s="6">
        <v>1</v>
      </c>
      <c r="G8" s="6">
        <v>1</v>
      </c>
      <c r="H8" s="6">
        <v>1</v>
      </c>
      <c r="I8" s="15">
        <v>1</v>
      </c>
      <c r="J8" s="15">
        <v>1</v>
      </c>
      <c r="K8" s="15">
        <v>0</v>
      </c>
      <c r="L8" s="6">
        <v>0</v>
      </c>
      <c r="M8" s="15">
        <v>0</v>
      </c>
      <c r="N8" s="6">
        <v>0</v>
      </c>
      <c r="O8" s="6">
        <v>0</v>
      </c>
      <c r="P8" s="6">
        <v>0</v>
      </c>
      <c r="Q8" s="15">
        <v>0</v>
      </c>
    </row>
    <row r="9" spans="1:17" s="6" customFormat="1" x14ac:dyDescent="0.3">
      <c r="A9" s="6" t="s">
        <v>286</v>
      </c>
      <c r="B9" s="6">
        <v>0</v>
      </c>
      <c r="C9" s="6">
        <v>0</v>
      </c>
      <c r="D9" s="15">
        <v>1</v>
      </c>
      <c r="E9" s="6">
        <v>0</v>
      </c>
      <c r="F9" s="6">
        <v>0</v>
      </c>
      <c r="G9" s="6">
        <v>0</v>
      </c>
      <c r="H9" s="6">
        <v>0</v>
      </c>
      <c r="I9" s="15">
        <v>0</v>
      </c>
      <c r="J9" s="15">
        <v>0</v>
      </c>
      <c r="K9" s="15">
        <v>1</v>
      </c>
      <c r="L9" s="6">
        <v>0</v>
      </c>
      <c r="M9" s="15">
        <v>0</v>
      </c>
      <c r="N9" s="6">
        <v>0</v>
      </c>
      <c r="O9" s="6">
        <v>0</v>
      </c>
      <c r="P9" s="6">
        <v>1</v>
      </c>
      <c r="Q9" s="15">
        <v>0</v>
      </c>
    </row>
    <row r="10" spans="1:17" s="6" customFormat="1" x14ac:dyDescent="0.3">
      <c r="A10" s="6" t="s">
        <v>287</v>
      </c>
      <c r="B10" s="6">
        <v>1</v>
      </c>
      <c r="C10" s="6">
        <v>1</v>
      </c>
      <c r="D10" s="15">
        <v>0</v>
      </c>
      <c r="E10" s="6">
        <v>1</v>
      </c>
      <c r="F10" s="6">
        <v>1</v>
      </c>
      <c r="G10" s="6">
        <v>1</v>
      </c>
      <c r="H10" s="6">
        <v>1</v>
      </c>
      <c r="I10" s="15">
        <v>0</v>
      </c>
      <c r="J10" s="15">
        <v>0</v>
      </c>
      <c r="K10" s="15">
        <v>0</v>
      </c>
      <c r="L10" s="6">
        <v>1</v>
      </c>
      <c r="M10" s="15">
        <v>1</v>
      </c>
      <c r="N10" s="6">
        <v>0</v>
      </c>
      <c r="O10" s="6">
        <v>0</v>
      </c>
      <c r="P10" s="6">
        <v>0</v>
      </c>
      <c r="Q10" s="15">
        <v>1</v>
      </c>
    </row>
    <row r="11" spans="1:17" s="6" customFormat="1" x14ac:dyDescent="0.3">
      <c r="A11" s="6" t="s">
        <v>289</v>
      </c>
      <c r="B11" s="6">
        <v>0</v>
      </c>
      <c r="C11" s="6">
        <v>0</v>
      </c>
      <c r="D11" s="15">
        <v>0</v>
      </c>
      <c r="E11" s="6">
        <v>0</v>
      </c>
      <c r="F11" s="6">
        <v>0</v>
      </c>
      <c r="G11" s="6">
        <v>0</v>
      </c>
      <c r="H11" s="6">
        <v>1</v>
      </c>
      <c r="I11" s="15">
        <v>0</v>
      </c>
      <c r="J11" s="15">
        <v>1</v>
      </c>
      <c r="K11" s="15">
        <v>0</v>
      </c>
      <c r="L11" s="6">
        <v>0</v>
      </c>
      <c r="M11" s="15">
        <v>1</v>
      </c>
      <c r="N11" s="6">
        <v>0</v>
      </c>
      <c r="O11" s="6">
        <v>0</v>
      </c>
      <c r="P11" s="6">
        <v>0</v>
      </c>
      <c r="Q11" s="15">
        <v>0</v>
      </c>
    </row>
    <row r="12" spans="1:17" s="6" customFormat="1" x14ac:dyDescent="0.3">
      <c r="A12" s="6" t="s">
        <v>290</v>
      </c>
      <c r="B12" s="6">
        <v>1</v>
      </c>
      <c r="C12" s="6">
        <v>0</v>
      </c>
      <c r="D12" s="15">
        <v>0</v>
      </c>
      <c r="E12" s="6">
        <v>0</v>
      </c>
      <c r="F12" s="6">
        <v>0</v>
      </c>
      <c r="G12" s="6">
        <v>0</v>
      </c>
      <c r="H12" s="6">
        <v>0</v>
      </c>
      <c r="I12" s="15">
        <v>1</v>
      </c>
      <c r="J12" s="15">
        <v>0</v>
      </c>
      <c r="K12" s="15">
        <v>1</v>
      </c>
      <c r="L12" s="6">
        <v>0</v>
      </c>
      <c r="M12" s="15">
        <v>0</v>
      </c>
      <c r="N12" s="6">
        <v>1</v>
      </c>
      <c r="O12" s="6">
        <v>0</v>
      </c>
      <c r="P12" s="6">
        <v>0</v>
      </c>
      <c r="Q12" s="15">
        <v>0</v>
      </c>
    </row>
    <row r="13" spans="1:17" s="6" customFormat="1" x14ac:dyDescent="0.3">
      <c r="A13" s="6" t="s">
        <v>291</v>
      </c>
      <c r="B13" s="6">
        <v>0</v>
      </c>
      <c r="C13" s="6">
        <v>0</v>
      </c>
      <c r="D13" s="15">
        <v>0</v>
      </c>
      <c r="E13" s="6">
        <v>0</v>
      </c>
      <c r="F13" s="6">
        <v>0</v>
      </c>
      <c r="G13" s="6">
        <v>0</v>
      </c>
      <c r="H13" s="6">
        <v>0</v>
      </c>
      <c r="I13" s="15">
        <v>0</v>
      </c>
      <c r="J13" s="15">
        <v>0</v>
      </c>
      <c r="K13" s="15">
        <v>0</v>
      </c>
      <c r="L13" s="6">
        <v>1</v>
      </c>
      <c r="M13" s="15">
        <v>0</v>
      </c>
      <c r="N13" s="6">
        <v>0</v>
      </c>
      <c r="O13" s="6">
        <v>1</v>
      </c>
      <c r="P13" s="6">
        <v>1</v>
      </c>
      <c r="Q13" s="15">
        <v>1</v>
      </c>
    </row>
    <row r="14" spans="1:17" s="4" customFormat="1" x14ac:dyDescent="0.3">
      <c r="A14" s="4" t="s">
        <v>292</v>
      </c>
      <c r="B14" s="4">
        <v>0</v>
      </c>
      <c r="C14" s="4">
        <v>0</v>
      </c>
      <c r="D14" s="14">
        <v>0</v>
      </c>
      <c r="E14" s="4">
        <v>1</v>
      </c>
      <c r="F14" s="4">
        <v>0</v>
      </c>
      <c r="G14" s="4">
        <v>1</v>
      </c>
      <c r="H14" s="4">
        <v>0</v>
      </c>
      <c r="I14" s="14">
        <v>1</v>
      </c>
      <c r="J14" s="14">
        <v>0</v>
      </c>
      <c r="K14" s="14">
        <v>0</v>
      </c>
      <c r="L14" s="4">
        <v>0</v>
      </c>
      <c r="M14" s="14">
        <v>0</v>
      </c>
      <c r="N14" s="4">
        <v>0</v>
      </c>
      <c r="O14" s="4">
        <v>0</v>
      </c>
      <c r="P14" s="4">
        <v>0</v>
      </c>
      <c r="Q14" s="14">
        <v>0</v>
      </c>
    </row>
    <row r="15" spans="1:17" s="4" customFormat="1" x14ac:dyDescent="0.3">
      <c r="A15" s="4" t="s">
        <v>293</v>
      </c>
      <c r="B15" s="4">
        <v>1</v>
      </c>
      <c r="C15" s="4">
        <v>0</v>
      </c>
      <c r="D15" s="14">
        <v>0</v>
      </c>
      <c r="E15" s="4">
        <v>0</v>
      </c>
      <c r="F15" s="4">
        <v>0</v>
      </c>
      <c r="G15" s="4">
        <v>0</v>
      </c>
      <c r="H15" s="4">
        <v>0</v>
      </c>
      <c r="I15" s="14">
        <v>0</v>
      </c>
      <c r="J15" s="14">
        <v>1</v>
      </c>
      <c r="K15" s="14">
        <v>0</v>
      </c>
      <c r="L15" s="4">
        <v>1</v>
      </c>
      <c r="M15" s="14">
        <v>0</v>
      </c>
      <c r="N15" s="4">
        <v>1</v>
      </c>
      <c r="O15" s="4">
        <v>0</v>
      </c>
      <c r="P15" s="4">
        <v>0</v>
      </c>
      <c r="Q15" s="14">
        <v>0</v>
      </c>
    </row>
    <row r="16" spans="1:17" s="4" customFormat="1" x14ac:dyDescent="0.3">
      <c r="A16" s="4" t="s">
        <v>294</v>
      </c>
      <c r="B16" s="4">
        <v>0</v>
      </c>
      <c r="C16" s="4">
        <v>1</v>
      </c>
      <c r="D16" s="14">
        <v>0</v>
      </c>
      <c r="E16" s="4">
        <v>0</v>
      </c>
      <c r="F16" s="4">
        <v>0</v>
      </c>
      <c r="G16" s="4">
        <v>0</v>
      </c>
      <c r="H16" s="4">
        <v>0</v>
      </c>
      <c r="I16" s="14">
        <v>0</v>
      </c>
      <c r="J16" s="14">
        <v>0</v>
      </c>
      <c r="K16" s="14">
        <v>1</v>
      </c>
      <c r="L16" s="4">
        <v>0</v>
      </c>
      <c r="M16" s="14">
        <v>0</v>
      </c>
      <c r="N16" s="4">
        <v>0</v>
      </c>
      <c r="O16" s="4">
        <v>1</v>
      </c>
      <c r="P16" s="4">
        <v>1</v>
      </c>
      <c r="Q16" s="14">
        <v>0</v>
      </c>
    </row>
    <row r="17" spans="1:17" x14ac:dyDescent="0.3">
      <c r="A17" t="s">
        <v>295</v>
      </c>
      <c r="B17">
        <v>1</v>
      </c>
      <c r="C17">
        <v>0</v>
      </c>
      <c r="D17" s="13">
        <v>0</v>
      </c>
      <c r="E17">
        <v>1</v>
      </c>
      <c r="F17">
        <v>0</v>
      </c>
      <c r="G17">
        <v>1</v>
      </c>
      <c r="H17">
        <v>1</v>
      </c>
      <c r="I17" s="13">
        <v>0</v>
      </c>
      <c r="J17" s="13">
        <v>0</v>
      </c>
      <c r="K17" s="13">
        <v>1</v>
      </c>
      <c r="L17">
        <v>0</v>
      </c>
      <c r="M17" s="13">
        <v>1</v>
      </c>
      <c r="N17">
        <v>0</v>
      </c>
      <c r="O17">
        <v>1</v>
      </c>
      <c r="P17">
        <v>0</v>
      </c>
      <c r="Q17" s="13">
        <v>0</v>
      </c>
    </row>
    <row r="18" spans="1:17" x14ac:dyDescent="0.3">
      <c r="A18" t="s">
        <v>297</v>
      </c>
      <c r="B18">
        <v>0</v>
      </c>
      <c r="C18">
        <v>1</v>
      </c>
      <c r="D18" s="13">
        <v>0</v>
      </c>
      <c r="E18">
        <v>0</v>
      </c>
      <c r="F18">
        <v>0</v>
      </c>
      <c r="G18">
        <v>0</v>
      </c>
      <c r="H18">
        <v>0</v>
      </c>
      <c r="I18" s="13">
        <v>1</v>
      </c>
      <c r="J18" s="13">
        <v>0</v>
      </c>
      <c r="K18" s="13">
        <v>0</v>
      </c>
      <c r="L18">
        <v>1</v>
      </c>
      <c r="M18" s="13">
        <v>0</v>
      </c>
      <c r="N18">
        <v>1</v>
      </c>
      <c r="O18">
        <v>0</v>
      </c>
      <c r="P18">
        <v>1</v>
      </c>
      <c r="Q18" s="13">
        <v>0</v>
      </c>
    </row>
    <row r="19" spans="1:17" s="4" customFormat="1" x14ac:dyDescent="0.3">
      <c r="A19" s="4" t="s">
        <v>298</v>
      </c>
      <c r="B19" s="4">
        <v>1</v>
      </c>
      <c r="C19" s="4">
        <v>0</v>
      </c>
      <c r="D19" s="14">
        <v>0</v>
      </c>
      <c r="E19" s="4">
        <v>0</v>
      </c>
      <c r="F19" s="4">
        <v>0</v>
      </c>
      <c r="G19" s="4">
        <v>0</v>
      </c>
      <c r="H19" s="4">
        <v>0</v>
      </c>
      <c r="I19" s="14">
        <v>0</v>
      </c>
      <c r="J19" s="14">
        <v>1</v>
      </c>
      <c r="K19" s="14">
        <v>0</v>
      </c>
      <c r="L19" s="4">
        <v>0</v>
      </c>
      <c r="M19" s="14">
        <v>1</v>
      </c>
      <c r="N19" s="4">
        <v>0</v>
      </c>
      <c r="O19" s="4">
        <v>0</v>
      </c>
      <c r="P19" s="4">
        <v>0</v>
      </c>
      <c r="Q19" s="14">
        <v>0</v>
      </c>
    </row>
    <row r="20" spans="1:17" s="4" customFormat="1" x14ac:dyDescent="0.3">
      <c r="A20" s="4" t="s">
        <v>299</v>
      </c>
      <c r="B20" s="4">
        <v>0</v>
      </c>
      <c r="C20" s="4">
        <v>0</v>
      </c>
      <c r="D20" s="14">
        <v>1</v>
      </c>
      <c r="E20" s="4">
        <v>0</v>
      </c>
      <c r="F20" s="4">
        <v>0</v>
      </c>
      <c r="G20" s="4">
        <v>1</v>
      </c>
      <c r="H20" s="4">
        <v>0</v>
      </c>
      <c r="I20" s="14">
        <v>1</v>
      </c>
      <c r="J20" s="14">
        <v>0</v>
      </c>
      <c r="K20" s="14">
        <v>0</v>
      </c>
      <c r="L20" s="4">
        <v>1</v>
      </c>
      <c r="M20" s="14">
        <v>0</v>
      </c>
      <c r="N20" s="4">
        <v>0</v>
      </c>
      <c r="O20" s="4">
        <v>0</v>
      </c>
      <c r="P20" s="4">
        <v>0</v>
      </c>
      <c r="Q20" s="14">
        <v>0</v>
      </c>
    </row>
    <row r="21" spans="1:17" s="4" customFormat="1" x14ac:dyDescent="0.3">
      <c r="A21" s="4" t="s">
        <v>300</v>
      </c>
      <c r="B21" s="4">
        <v>0</v>
      </c>
      <c r="C21" s="4">
        <v>1</v>
      </c>
      <c r="D21" s="14">
        <v>0</v>
      </c>
      <c r="E21" s="4">
        <v>0</v>
      </c>
      <c r="F21" s="4">
        <v>0</v>
      </c>
      <c r="G21" s="4">
        <v>0</v>
      </c>
      <c r="H21" s="4">
        <v>1</v>
      </c>
      <c r="I21" s="14">
        <v>0</v>
      </c>
      <c r="J21" s="14">
        <v>0</v>
      </c>
      <c r="K21" s="14">
        <v>1</v>
      </c>
      <c r="L21" s="4">
        <v>0</v>
      </c>
      <c r="M21" s="14">
        <v>0</v>
      </c>
      <c r="N21" s="4">
        <v>0</v>
      </c>
      <c r="O21" s="4">
        <v>1</v>
      </c>
      <c r="P21" s="4">
        <v>0</v>
      </c>
      <c r="Q21" s="14">
        <v>0</v>
      </c>
    </row>
    <row r="22" spans="1:17" x14ac:dyDescent="0.3">
      <c r="A22" t="s">
        <v>301</v>
      </c>
      <c r="B22">
        <v>0</v>
      </c>
      <c r="C22">
        <v>0</v>
      </c>
      <c r="D22" s="13">
        <v>0</v>
      </c>
      <c r="E22">
        <v>0</v>
      </c>
      <c r="F22">
        <v>0</v>
      </c>
      <c r="G22">
        <v>0</v>
      </c>
      <c r="H22">
        <v>0</v>
      </c>
      <c r="I22" s="13">
        <v>0</v>
      </c>
      <c r="J22" s="13">
        <v>0</v>
      </c>
      <c r="K22" s="13">
        <v>1</v>
      </c>
      <c r="L22">
        <v>1</v>
      </c>
      <c r="M22" s="13">
        <v>0</v>
      </c>
      <c r="N22">
        <v>1</v>
      </c>
      <c r="O22">
        <v>0</v>
      </c>
      <c r="P22">
        <v>0</v>
      </c>
      <c r="Q22" s="13">
        <v>0</v>
      </c>
    </row>
    <row r="23" spans="1:17" x14ac:dyDescent="0.3">
      <c r="A23" t="s">
        <v>302</v>
      </c>
      <c r="B23">
        <v>1</v>
      </c>
      <c r="C23">
        <v>1</v>
      </c>
      <c r="D23" s="13">
        <v>1</v>
      </c>
      <c r="E23">
        <v>1</v>
      </c>
      <c r="F23">
        <v>0</v>
      </c>
      <c r="G23">
        <v>0</v>
      </c>
      <c r="H23">
        <v>0</v>
      </c>
      <c r="I23" s="13">
        <v>0</v>
      </c>
      <c r="J23" s="13">
        <v>0</v>
      </c>
      <c r="K23" s="13">
        <v>0</v>
      </c>
      <c r="L23">
        <v>0</v>
      </c>
      <c r="M23" s="13">
        <v>0</v>
      </c>
      <c r="N23">
        <v>0</v>
      </c>
      <c r="O23">
        <v>0</v>
      </c>
      <c r="P23">
        <v>0</v>
      </c>
      <c r="Q23" s="13">
        <v>0</v>
      </c>
    </row>
    <row r="24" spans="1:17" x14ac:dyDescent="0.3">
      <c r="A24" t="s">
        <v>303</v>
      </c>
      <c r="B24">
        <v>0</v>
      </c>
      <c r="C24">
        <v>0</v>
      </c>
      <c r="D24" s="13">
        <v>0</v>
      </c>
      <c r="E24">
        <v>0</v>
      </c>
      <c r="F24">
        <v>1</v>
      </c>
      <c r="G24">
        <v>1</v>
      </c>
      <c r="H24">
        <v>1</v>
      </c>
      <c r="I24" s="13">
        <v>1</v>
      </c>
      <c r="J24" s="13">
        <v>1</v>
      </c>
      <c r="K24" s="13">
        <v>0</v>
      </c>
      <c r="L24">
        <v>0</v>
      </c>
      <c r="M24" s="13">
        <v>0</v>
      </c>
      <c r="N24">
        <v>0</v>
      </c>
      <c r="O24">
        <v>0</v>
      </c>
      <c r="P24">
        <v>0</v>
      </c>
      <c r="Q24" s="13">
        <v>0</v>
      </c>
    </row>
    <row r="25" spans="1:17" s="4" customFormat="1" x14ac:dyDescent="0.3">
      <c r="A25" s="4" t="s">
        <v>304</v>
      </c>
      <c r="B25" s="4">
        <v>0</v>
      </c>
      <c r="C25" s="4">
        <v>0</v>
      </c>
      <c r="D25" s="14">
        <v>0</v>
      </c>
      <c r="E25" s="4">
        <v>0</v>
      </c>
      <c r="F25" s="4">
        <v>0</v>
      </c>
      <c r="G25" s="4">
        <v>0</v>
      </c>
      <c r="H25" s="4">
        <v>1</v>
      </c>
      <c r="I25" s="14">
        <v>1</v>
      </c>
      <c r="J25" s="14">
        <v>0</v>
      </c>
      <c r="K25" s="14">
        <v>0</v>
      </c>
      <c r="L25" s="4">
        <v>1</v>
      </c>
      <c r="M25" s="14">
        <v>0</v>
      </c>
      <c r="N25" s="4">
        <v>0</v>
      </c>
      <c r="O25" s="4">
        <v>0</v>
      </c>
      <c r="P25" s="4">
        <v>0</v>
      </c>
      <c r="Q25" s="14">
        <v>0</v>
      </c>
    </row>
    <row r="26" spans="1:17" s="4" customFormat="1" x14ac:dyDescent="0.3">
      <c r="A26" s="4" t="s">
        <v>305</v>
      </c>
      <c r="B26" s="4">
        <v>1</v>
      </c>
      <c r="C26" s="4">
        <v>1</v>
      </c>
      <c r="D26" s="14">
        <v>0</v>
      </c>
      <c r="E26" s="4">
        <v>1</v>
      </c>
      <c r="F26" s="4">
        <v>1</v>
      </c>
      <c r="G26" s="4">
        <v>1</v>
      </c>
      <c r="H26" s="4">
        <v>0</v>
      </c>
      <c r="I26" s="14">
        <v>0</v>
      </c>
      <c r="J26" s="14">
        <v>1</v>
      </c>
      <c r="K26" s="14">
        <v>1</v>
      </c>
      <c r="L26" s="4">
        <v>0</v>
      </c>
      <c r="M26" s="14">
        <v>0</v>
      </c>
      <c r="N26" s="4">
        <v>0</v>
      </c>
      <c r="O26" s="4">
        <v>0</v>
      </c>
      <c r="P26" s="4">
        <v>0</v>
      </c>
      <c r="Q26" s="14">
        <v>0</v>
      </c>
    </row>
    <row r="27" spans="1:17" x14ac:dyDescent="0.3">
      <c r="A27" t="s">
        <v>307</v>
      </c>
      <c r="B27">
        <v>0</v>
      </c>
      <c r="C27">
        <v>0</v>
      </c>
      <c r="D27" s="13">
        <v>0</v>
      </c>
      <c r="E27">
        <v>0</v>
      </c>
      <c r="F27">
        <v>0</v>
      </c>
      <c r="G27">
        <v>0</v>
      </c>
      <c r="H27">
        <v>0</v>
      </c>
      <c r="I27" s="13">
        <v>0</v>
      </c>
      <c r="J27" s="13">
        <v>1</v>
      </c>
      <c r="K27" s="13">
        <v>1</v>
      </c>
      <c r="L27">
        <v>1</v>
      </c>
      <c r="M27" s="13">
        <v>0</v>
      </c>
      <c r="N27">
        <v>1</v>
      </c>
      <c r="O27">
        <v>0</v>
      </c>
      <c r="P27">
        <v>0</v>
      </c>
      <c r="Q27" s="13">
        <v>0</v>
      </c>
    </row>
    <row r="28" spans="1:17" x14ac:dyDescent="0.3">
      <c r="A28" t="s">
        <v>308</v>
      </c>
      <c r="B28">
        <v>0</v>
      </c>
      <c r="C28">
        <v>0</v>
      </c>
      <c r="D28" s="13">
        <v>1</v>
      </c>
      <c r="E28">
        <v>0</v>
      </c>
      <c r="F28">
        <v>0</v>
      </c>
      <c r="G28">
        <v>0</v>
      </c>
      <c r="H28">
        <v>0</v>
      </c>
      <c r="I28" s="13">
        <v>0</v>
      </c>
      <c r="J28" s="13">
        <v>0</v>
      </c>
      <c r="K28" s="13">
        <v>0</v>
      </c>
      <c r="L28">
        <v>0</v>
      </c>
      <c r="M28" s="13">
        <v>1</v>
      </c>
      <c r="N28">
        <v>0</v>
      </c>
      <c r="O28">
        <v>1</v>
      </c>
      <c r="P28">
        <v>1</v>
      </c>
      <c r="Q28" s="13">
        <v>0</v>
      </c>
    </row>
    <row r="29" spans="1:17" x14ac:dyDescent="0.3">
      <c r="A29" t="s">
        <v>309</v>
      </c>
      <c r="B29">
        <v>1</v>
      </c>
      <c r="C29">
        <v>1</v>
      </c>
      <c r="D29" s="13">
        <v>0</v>
      </c>
      <c r="E29">
        <v>0</v>
      </c>
      <c r="F29">
        <v>0</v>
      </c>
      <c r="G29">
        <v>0</v>
      </c>
      <c r="H29">
        <v>0</v>
      </c>
      <c r="I29" s="13">
        <v>0</v>
      </c>
      <c r="J29" s="13">
        <v>0</v>
      </c>
      <c r="K29" s="13">
        <v>0</v>
      </c>
      <c r="L29">
        <v>0</v>
      </c>
      <c r="M29" s="13">
        <v>0</v>
      </c>
      <c r="N29">
        <v>0</v>
      </c>
      <c r="O29">
        <v>0</v>
      </c>
      <c r="P29">
        <v>0</v>
      </c>
      <c r="Q29" s="13">
        <v>1</v>
      </c>
    </row>
    <row r="30" spans="1:17" s="4" customFormat="1" x14ac:dyDescent="0.3">
      <c r="A30" s="4" t="s">
        <v>311</v>
      </c>
      <c r="B30" s="4">
        <v>0</v>
      </c>
      <c r="C30" s="4">
        <v>0</v>
      </c>
      <c r="D30" s="14">
        <v>0</v>
      </c>
      <c r="E30" s="4">
        <v>1</v>
      </c>
      <c r="F30" s="4">
        <v>0</v>
      </c>
      <c r="G30" s="4">
        <v>1</v>
      </c>
      <c r="H30" s="4">
        <v>0</v>
      </c>
      <c r="I30" s="14">
        <v>0</v>
      </c>
      <c r="J30" s="14">
        <v>1</v>
      </c>
      <c r="K30" s="14">
        <v>1</v>
      </c>
      <c r="L30" s="4">
        <v>0</v>
      </c>
      <c r="M30" s="14">
        <v>0</v>
      </c>
      <c r="N30" s="4">
        <v>0</v>
      </c>
      <c r="O30" s="4">
        <v>0</v>
      </c>
      <c r="P30" s="4">
        <v>0</v>
      </c>
      <c r="Q30" s="14">
        <v>0</v>
      </c>
    </row>
    <row r="31" spans="1:17" s="4" customFormat="1" x14ac:dyDescent="0.3">
      <c r="A31" s="4" t="s">
        <v>312</v>
      </c>
      <c r="B31" s="4">
        <v>0</v>
      </c>
      <c r="C31" s="4">
        <v>1</v>
      </c>
      <c r="D31" s="14">
        <v>0</v>
      </c>
      <c r="E31" s="4">
        <v>0</v>
      </c>
      <c r="F31" s="4">
        <v>1</v>
      </c>
      <c r="G31" s="4">
        <v>0</v>
      </c>
      <c r="H31" s="4">
        <v>1</v>
      </c>
      <c r="I31" s="14">
        <v>1</v>
      </c>
      <c r="J31" s="14">
        <v>0</v>
      </c>
      <c r="K31" s="14">
        <v>0</v>
      </c>
      <c r="L31" s="4">
        <v>0</v>
      </c>
      <c r="M31" s="14">
        <v>0</v>
      </c>
      <c r="N31" s="4">
        <v>0</v>
      </c>
      <c r="O31" s="4">
        <v>0</v>
      </c>
      <c r="P31" s="4">
        <v>0</v>
      </c>
      <c r="Q31" s="14">
        <v>1</v>
      </c>
    </row>
    <row r="32" spans="1:17" x14ac:dyDescent="0.3">
      <c r="A32" t="s">
        <v>313</v>
      </c>
      <c r="B32">
        <v>0</v>
      </c>
      <c r="C32">
        <v>1</v>
      </c>
      <c r="D32" s="13">
        <v>0</v>
      </c>
      <c r="E32">
        <v>0</v>
      </c>
      <c r="F32">
        <v>0</v>
      </c>
      <c r="G32">
        <v>0</v>
      </c>
      <c r="H32">
        <v>0</v>
      </c>
      <c r="I32" s="13">
        <v>0</v>
      </c>
      <c r="J32" s="13">
        <v>1</v>
      </c>
      <c r="K32" s="13">
        <v>0</v>
      </c>
      <c r="L32">
        <v>1</v>
      </c>
      <c r="M32" s="13">
        <v>0</v>
      </c>
      <c r="N32">
        <v>0</v>
      </c>
      <c r="O32">
        <v>0</v>
      </c>
      <c r="P32">
        <v>0</v>
      </c>
      <c r="Q32" s="13">
        <v>1</v>
      </c>
    </row>
    <row r="33" spans="1:17" x14ac:dyDescent="0.3">
      <c r="A33" t="s">
        <v>314</v>
      </c>
      <c r="B33">
        <v>1</v>
      </c>
      <c r="C33">
        <v>0</v>
      </c>
      <c r="D33" s="13">
        <v>0</v>
      </c>
      <c r="E33">
        <v>1</v>
      </c>
      <c r="F33">
        <v>0</v>
      </c>
      <c r="G33">
        <v>0</v>
      </c>
      <c r="H33">
        <v>0</v>
      </c>
      <c r="I33" s="13">
        <v>1</v>
      </c>
      <c r="J33" s="13">
        <v>0</v>
      </c>
      <c r="K33" s="13">
        <v>1</v>
      </c>
      <c r="L33">
        <v>0</v>
      </c>
      <c r="M33" s="13">
        <v>0</v>
      </c>
      <c r="N33">
        <v>0</v>
      </c>
      <c r="O33">
        <v>0</v>
      </c>
      <c r="P33">
        <v>0</v>
      </c>
      <c r="Q33" s="13">
        <v>0</v>
      </c>
    </row>
    <row r="34" spans="1:17" x14ac:dyDescent="0.3">
      <c r="A34" t="s">
        <v>315</v>
      </c>
      <c r="B34">
        <v>0</v>
      </c>
      <c r="C34">
        <v>0</v>
      </c>
      <c r="D34" s="13">
        <v>0</v>
      </c>
      <c r="E34">
        <v>0</v>
      </c>
      <c r="F34">
        <v>0</v>
      </c>
      <c r="G34">
        <v>0</v>
      </c>
      <c r="H34">
        <v>0</v>
      </c>
      <c r="I34" s="13">
        <v>0</v>
      </c>
      <c r="J34" s="13">
        <v>0</v>
      </c>
      <c r="K34" s="13">
        <v>0</v>
      </c>
      <c r="L34">
        <v>0</v>
      </c>
      <c r="M34" s="13">
        <v>1</v>
      </c>
      <c r="N34">
        <v>1</v>
      </c>
      <c r="O34">
        <v>1</v>
      </c>
      <c r="P34">
        <v>1</v>
      </c>
      <c r="Q34" s="13">
        <v>0</v>
      </c>
    </row>
    <row r="35" spans="1:17" s="4" customFormat="1" x14ac:dyDescent="0.3">
      <c r="A35" s="4" t="s">
        <v>316</v>
      </c>
      <c r="B35" s="4">
        <v>1</v>
      </c>
      <c r="C35" s="4">
        <v>0</v>
      </c>
      <c r="D35" s="14">
        <v>0</v>
      </c>
      <c r="E35" s="4">
        <v>0</v>
      </c>
      <c r="F35" s="4">
        <v>0</v>
      </c>
      <c r="G35" s="4">
        <v>0</v>
      </c>
      <c r="H35" s="4">
        <v>0</v>
      </c>
      <c r="I35" s="14">
        <v>0</v>
      </c>
      <c r="J35" s="14">
        <v>1</v>
      </c>
      <c r="K35" s="14">
        <v>0</v>
      </c>
      <c r="L35" s="4">
        <v>1</v>
      </c>
      <c r="M35" s="14">
        <v>0</v>
      </c>
      <c r="N35" s="4">
        <v>1</v>
      </c>
      <c r="O35" s="4">
        <v>0</v>
      </c>
      <c r="P35" s="4">
        <v>0</v>
      </c>
      <c r="Q35" s="14">
        <v>0</v>
      </c>
    </row>
    <row r="36" spans="1:17" s="4" customFormat="1" x14ac:dyDescent="0.3">
      <c r="A36" s="4" t="s">
        <v>317</v>
      </c>
      <c r="B36" s="4">
        <v>0</v>
      </c>
      <c r="C36" s="4">
        <v>0</v>
      </c>
      <c r="D36" s="14">
        <v>1</v>
      </c>
      <c r="E36" s="4">
        <v>1</v>
      </c>
      <c r="F36" s="4">
        <v>1</v>
      </c>
      <c r="G36" s="4">
        <v>1</v>
      </c>
      <c r="H36" s="4">
        <v>1</v>
      </c>
      <c r="I36" s="14">
        <v>1</v>
      </c>
      <c r="J36" s="14">
        <v>0</v>
      </c>
      <c r="K36" s="14">
        <v>0</v>
      </c>
      <c r="L36" s="4">
        <v>0</v>
      </c>
      <c r="M36" s="14">
        <v>1</v>
      </c>
      <c r="N36" s="4">
        <v>0</v>
      </c>
      <c r="O36" s="4">
        <v>0</v>
      </c>
      <c r="P36" s="4">
        <v>0</v>
      </c>
      <c r="Q36" s="14">
        <v>1</v>
      </c>
    </row>
    <row r="37" spans="1:17" x14ac:dyDescent="0.3">
      <c r="A37" t="s">
        <v>320</v>
      </c>
      <c r="B37">
        <v>1</v>
      </c>
      <c r="C37">
        <v>0</v>
      </c>
      <c r="D37" s="13">
        <v>0</v>
      </c>
      <c r="E37">
        <v>0</v>
      </c>
      <c r="F37">
        <v>0</v>
      </c>
      <c r="G37">
        <v>1</v>
      </c>
      <c r="H37">
        <v>0</v>
      </c>
      <c r="I37" s="13">
        <v>0</v>
      </c>
      <c r="J37" s="13">
        <v>0</v>
      </c>
      <c r="K37" s="13">
        <v>1</v>
      </c>
      <c r="L37">
        <v>0</v>
      </c>
      <c r="M37" s="13">
        <v>0</v>
      </c>
      <c r="N37">
        <v>1</v>
      </c>
      <c r="O37">
        <v>0</v>
      </c>
      <c r="P37">
        <v>0</v>
      </c>
      <c r="Q37" s="13">
        <v>0</v>
      </c>
    </row>
    <row r="38" spans="1:17" x14ac:dyDescent="0.3">
      <c r="A38" t="s">
        <v>321</v>
      </c>
      <c r="B38">
        <v>0</v>
      </c>
      <c r="C38">
        <v>1</v>
      </c>
      <c r="D38" s="13">
        <v>0</v>
      </c>
      <c r="E38">
        <v>1</v>
      </c>
      <c r="F38">
        <v>1</v>
      </c>
      <c r="G38">
        <v>0</v>
      </c>
      <c r="H38">
        <v>0</v>
      </c>
      <c r="I38" s="13">
        <v>1</v>
      </c>
      <c r="J38" s="13">
        <v>1</v>
      </c>
      <c r="K38" s="13">
        <v>0</v>
      </c>
      <c r="L38">
        <v>0</v>
      </c>
      <c r="M38" s="13">
        <v>0</v>
      </c>
      <c r="N38">
        <v>0</v>
      </c>
      <c r="O38">
        <v>0</v>
      </c>
      <c r="P38">
        <v>0</v>
      </c>
      <c r="Q38" s="13">
        <v>0</v>
      </c>
    </row>
    <row r="39" spans="1:17" s="4" customFormat="1" x14ac:dyDescent="0.3">
      <c r="A39" s="4" t="s">
        <v>322</v>
      </c>
      <c r="B39" s="4">
        <v>0</v>
      </c>
      <c r="C39" s="4">
        <v>0</v>
      </c>
      <c r="D39" s="14">
        <v>1</v>
      </c>
      <c r="E39" s="4">
        <v>0</v>
      </c>
      <c r="F39" s="4">
        <v>0</v>
      </c>
      <c r="G39" s="4">
        <v>0</v>
      </c>
      <c r="H39" s="4">
        <v>1</v>
      </c>
      <c r="I39" s="14">
        <v>1</v>
      </c>
      <c r="J39" s="14">
        <v>0</v>
      </c>
      <c r="K39" s="14">
        <v>0</v>
      </c>
      <c r="L39" s="4">
        <v>1</v>
      </c>
      <c r="M39" s="14">
        <v>0</v>
      </c>
      <c r="N39" s="4">
        <v>0</v>
      </c>
      <c r="O39" s="4">
        <v>0</v>
      </c>
      <c r="P39" s="4">
        <v>0</v>
      </c>
      <c r="Q39" s="14">
        <v>0</v>
      </c>
    </row>
    <row r="40" spans="1:17" s="4" customFormat="1" x14ac:dyDescent="0.3">
      <c r="A40" s="4" t="s">
        <v>323</v>
      </c>
      <c r="B40" s="4">
        <v>1</v>
      </c>
      <c r="C40" s="4">
        <v>1</v>
      </c>
      <c r="D40" s="14">
        <v>0</v>
      </c>
      <c r="E40" s="4">
        <v>1</v>
      </c>
      <c r="F40" s="4">
        <v>1</v>
      </c>
      <c r="G40" s="4">
        <v>1</v>
      </c>
      <c r="H40" s="4">
        <v>0</v>
      </c>
      <c r="I40" s="14">
        <v>0</v>
      </c>
      <c r="J40" s="14">
        <v>1</v>
      </c>
      <c r="K40" s="14">
        <v>1</v>
      </c>
      <c r="L40" s="4">
        <v>0</v>
      </c>
      <c r="M40" s="14">
        <v>0</v>
      </c>
      <c r="N40" s="4">
        <v>0</v>
      </c>
      <c r="O40" s="4">
        <v>0</v>
      </c>
      <c r="P40" s="4">
        <v>0</v>
      </c>
      <c r="Q40" s="14">
        <v>0</v>
      </c>
    </row>
    <row r="41" spans="1:17" x14ac:dyDescent="0.3">
      <c r="A41" t="s">
        <v>326</v>
      </c>
      <c r="B41">
        <v>1</v>
      </c>
      <c r="C41">
        <v>1</v>
      </c>
      <c r="D41" s="13">
        <v>0</v>
      </c>
      <c r="E41">
        <v>1</v>
      </c>
      <c r="F41">
        <v>0</v>
      </c>
      <c r="G41">
        <v>0</v>
      </c>
      <c r="H41">
        <v>0</v>
      </c>
      <c r="I41" s="13">
        <v>0</v>
      </c>
      <c r="J41" s="13">
        <v>1</v>
      </c>
      <c r="K41" s="13">
        <v>1</v>
      </c>
      <c r="L41">
        <v>1</v>
      </c>
      <c r="M41" s="13">
        <v>0</v>
      </c>
      <c r="N41">
        <v>0</v>
      </c>
      <c r="O41">
        <v>1</v>
      </c>
      <c r="P41">
        <v>1</v>
      </c>
      <c r="Q41" s="13">
        <v>0</v>
      </c>
    </row>
    <row r="42" spans="1:17" s="4" customFormat="1" x14ac:dyDescent="0.3">
      <c r="A42" s="4" t="s">
        <v>329</v>
      </c>
      <c r="B42" s="4">
        <v>0</v>
      </c>
      <c r="C42" s="4">
        <v>0</v>
      </c>
      <c r="D42" s="14">
        <v>1</v>
      </c>
      <c r="E42" s="4">
        <v>1</v>
      </c>
      <c r="F42" s="4">
        <v>0</v>
      </c>
      <c r="G42" s="4">
        <v>0</v>
      </c>
      <c r="H42" s="4">
        <v>0</v>
      </c>
      <c r="I42" s="14">
        <v>0</v>
      </c>
      <c r="J42" s="14">
        <v>0</v>
      </c>
      <c r="K42" s="14">
        <v>1</v>
      </c>
      <c r="L42" s="4">
        <v>0</v>
      </c>
      <c r="M42" s="14">
        <v>1</v>
      </c>
      <c r="N42" s="4">
        <v>0</v>
      </c>
      <c r="O42" s="4">
        <v>0</v>
      </c>
      <c r="P42" s="4">
        <v>0</v>
      </c>
      <c r="Q42" s="14">
        <v>0</v>
      </c>
    </row>
    <row r="43" spans="1:17" s="4" customFormat="1" x14ac:dyDescent="0.3">
      <c r="A43" s="4" t="s">
        <v>330</v>
      </c>
      <c r="B43" s="4">
        <v>0</v>
      </c>
      <c r="C43" s="4">
        <v>1</v>
      </c>
      <c r="D43" s="14">
        <v>0</v>
      </c>
      <c r="E43" s="4">
        <v>0</v>
      </c>
      <c r="F43" s="4">
        <v>0</v>
      </c>
      <c r="G43" s="4">
        <v>0</v>
      </c>
      <c r="H43" s="4">
        <v>0</v>
      </c>
      <c r="I43" s="14">
        <v>0</v>
      </c>
      <c r="J43" s="14">
        <v>0</v>
      </c>
      <c r="K43" s="14">
        <v>0</v>
      </c>
      <c r="L43" s="4">
        <v>1</v>
      </c>
      <c r="M43" s="14">
        <v>0</v>
      </c>
      <c r="N43" s="4">
        <v>1</v>
      </c>
      <c r="O43" s="4">
        <v>0</v>
      </c>
      <c r="P43" s="4">
        <v>1</v>
      </c>
      <c r="Q43" s="14">
        <v>1</v>
      </c>
    </row>
    <row r="44" spans="1:17" x14ac:dyDescent="0.3">
      <c r="A44" t="s">
        <v>331</v>
      </c>
      <c r="B44">
        <v>0</v>
      </c>
      <c r="C44">
        <v>0</v>
      </c>
      <c r="D44" s="13">
        <v>0</v>
      </c>
      <c r="E44">
        <v>1</v>
      </c>
      <c r="F44">
        <v>0</v>
      </c>
      <c r="G44">
        <v>0</v>
      </c>
      <c r="H44">
        <v>0</v>
      </c>
      <c r="I44" s="13">
        <v>0</v>
      </c>
      <c r="J44" s="13">
        <v>1</v>
      </c>
      <c r="K44" s="13">
        <v>1</v>
      </c>
      <c r="L44">
        <v>0</v>
      </c>
      <c r="M44" s="13">
        <v>0</v>
      </c>
      <c r="N44">
        <v>1</v>
      </c>
      <c r="O44">
        <v>0</v>
      </c>
      <c r="P44">
        <v>0</v>
      </c>
      <c r="Q44" s="13">
        <v>0</v>
      </c>
    </row>
    <row r="45" spans="1:17" x14ac:dyDescent="0.3">
      <c r="A45" t="s">
        <v>332</v>
      </c>
      <c r="B45">
        <v>0</v>
      </c>
      <c r="C45">
        <v>0</v>
      </c>
      <c r="D45" s="13">
        <v>1</v>
      </c>
      <c r="E45">
        <v>0</v>
      </c>
      <c r="F45">
        <v>0</v>
      </c>
      <c r="G45">
        <v>0</v>
      </c>
      <c r="H45">
        <v>0</v>
      </c>
      <c r="I45" s="13">
        <v>0</v>
      </c>
      <c r="J45" s="13">
        <v>0</v>
      </c>
      <c r="K45" s="13">
        <v>0</v>
      </c>
      <c r="L45">
        <v>0</v>
      </c>
      <c r="M45" s="13">
        <v>1</v>
      </c>
      <c r="N45">
        <v>0</v>
      </c>
      <c r="O45">
        <v>1</v>
      </c>
      <c r="P45">
        <v>1</v>
      </c>
      <c r="Q45" s="13">
        <v>0</v>
      </c>
    </row>
    <row r="46" spans="1:17" x14ac:dyDescent="0.3">
      <c r="A46" t="s">
        <v>333</v>
      </c>
      <c r="B46">
        <v>1</v>
      </c>
      <c r="C46">
        <v>1</v>
      </c>
      <c r="D46" s="13">
        <v>0</v>
      </c>
      <c r="E46">
        <v>0</v>
      </c>
      <c r="F46">
        <v>0</v>
      </c>
      <c r="G46">
        <v>0</v>
      </c>
      <c r="H46">
        <v>0</v>
      </c>
      <c r="I46" s="13">
        <v>0</v>
      </c>
      <c r="J46" s="13">
        <v>0</v>
      </c>
      <c r="K46" s="13">
        <v>0</v>
      </c>
      <c r="L46">
        <v>0</v>
      </c>
      <c r="M46" s="13">
        <v>0</v>
      </c>
      <c r="N46">
        <v>0</v>
      </c>
      <c r="O46">
        <v>0</v>
      </c>
      <c r="P46">
        <v>0</v>
      </c>
      <c r="Q46" s="13">
        <v>1</v>
      </c>
    </row>
    <row r="47" spans="1:17" s="4" customFormat="1" x14ac:dyDescent="0.3">
      <c r="A47" s="4" t="s">
        <v>334</v>
      </c>
      <c r="B47" s="4">
        <v>0</v>
      </c>
      <c r="C47" s="4">
        <v>0</v>
      </c>
      <c r="D47" s="14">
        <v>0</v>
      </c>
      <c r="E47" s="4">
        <v>1</v>
      </c>
      <c r="F47" s="4">
        <v>0</v>
      </c>
      <c r="G47" s="4">
        <v>0</v>
      </c>
      <c r="H47" s="4">
        <v>0</v>
      </c>
      <c r="I47" s="14">
        <v>0</v>
      </c>
      <c r="J47" s="14">
        <v>1</v>
      </c>
      <c r="K47" s="14">
        <v>0</v>
      </c>
      <c r="L47" s="4">
        <v>1</v>
      </c>
      <c r="M47" s="14">
        <v>0</v>
      </c>
      <c r="N47" s="4">
        <v>1</v>
      </c>
      <c r="O47" s="4">
        <v>0</v>
      </c>
      <c r="P47" s="4">
        <v>0</v>
      </c>
      <c r="Q47" s="14">
        <v>0</v>
      </c>
    </row>
    <row r="48" spans="1:17" s="4" customFormat="1" x14ac:dyDescent="0.3">
      <c r="A48" s="4" t="s">
        <v>335</v>
      </c>
      <c r="B48" s="4">
        <v>0</v>
      </c>
      <c r="C48" s="4">
        <v>0</v>
      </c>
      <c r="D48" s="14">
        <v>1</v>
      </c>
      <c r="E48" s="4">
        <v>0</v>
      </c>
      <c r="F48" s="4">
        <v>0</v>
      </c>
      <c r="G48" s="4">
        <v>0</v>
      </c>
      <c r="H48" s="4">
        <v>0</v>
      </c>
      <c r="I48" s="14">
        <v>0</v>
      </c>
      <c r="J48" s="14">
        <v>0</v>
      </c>
      <c r="K48" s="14">
        <v>0</v>
      </c>
      <c r="L48" s="4">
        <v>0</v>
      </c>
      <c r="M48" s="14">
        <v>1</v>
      </c>
      <c r="N48" s="4">
        <v>0</v>
      </c>
      <c r="O48" s="4">
        <v>1</v>
      </c>
      <c r="P48" s="4">
        <v>1</v>
      </c>
      <c r="Q48" s="14">
        <v>0</v>
      </c>
    </row>
    <row r="49" spans="1:17" s="4" customFormat="1" x14ac:dyDescent="0.3">
      <c r="A49" s="4" t="s">
        <v>336</v>
      </c>
      <c r="B49" s="4">
        <v>1</v>
      </c>
      <c r="C49" s="4">
        <v>1</v>
      </c>
      <c r="D49" s="14">
        <v>0</v>
      </c>
      <c r="E49" s="4">
        <v>0</v>
      </c>
      <c r="F49" s="4">
        <v>0</v>
      </c>
      <c r="G49" s="4">
        <v>0</v>
      </c>
      <c r="H49" s="4">
        <v>0</v>
      </c>
      <c r="I49" s="14">
        <v>0</v>
      </c>
      <c r="J49" s="14">
        <v>0</v>
      </c>
      <c r="K49" s="14">
        <v>0</v>
      </c>
      <c r="L49" s="4">
        <v>0</v>
      </c>
      <c r="M49" s="14">
        <v>0</v>
      </c>
      <c r="N49" s="4">
        <v>0</v>
      </c>
      <c r="O49" s="4">
        <v>0</v>
      </c>
      <c r="P49" s="4">
        <v>0</v>
      </c>
      <c r="Q49" s="14">
        <v>1</v>
      </c>
    </row>
    <row r="50" spans="1:17" x14ac:dyDescent="0.3">
      <c r="A50" t="s">
        <v>337</v>
      </c>
      <c r="B50">
        <v>0</v>
      </c>
      <c r="C50">
        <v>0</v>
      </c>
      <c r="D50" s="13">
        <v>0</v>
      </c>
      <c r="E50">
        <v>0</v>
      </c>
      <c r="F50">
        <v>0</v>
      </c>
      <c r="G50">
        <v>0</v>
      </c>
      <c r="H50">
        <v>0</v>
      </c>
      <c r="I50" s="13">
        <v>0</v>
      </c>
      <c r="J50" s="13">
        <v>1</v>
      </c>
      <c r="K50" s="13">
        <v>0</v>
      </c>
      <c r="L50">
        <v>1</v>
      </c>
      <c r="M50" s="13">
        <v>1</v>
      </c>
      <c r="N50">
        <v>1</v>
      </c>
      <c r="O50">
        <v>0</v>
      </c>
      <c r="P50">
        <v>0</v>
      </c>
      <c r="Q50" s="13">
        <v>0</v>
      </c>
    </row>
    <row r="51" spans="1:17" x14ac:dyDescent="0.3">
      <c r="A51" t="s">
        <v>338</v>
      </c>
      <c r="B51">
        <v>0</v>
      </c>
      <c r="C51">
        <v>0</v>
      </c>
      <c r="D51" s="13">
        <v>0</v>
      </c>
      <c r="E51">
        <v>0</v>
      </c>
      <c r="F51">
        <v>0</v>
      </c>
      <c r="G51">
        <v>0</v>
      </c>
      <c r="H51">
        <v>1</v>
      </c>
      <c r="I51" s="13">
        <v>0</v>
      </c>
      <c r="J51" s="13">
        <v>0</v>
      </c>
      <c r="K51" s="13">
        <v>1</v>
      </c>
      <c r="L51">
        <v>0</v>
      </c>
      <c r="M51" s="13">
        <v>0</v>
      </c>
      <c r="N51">
        <v>0</v>
      </c>
      <c r="O51">
        <v>1</v>
      </c>
      <c r="P51">
        <v>0</v>
      </c>
      <c r="Q51" s="13">
        <v>1</v>
      </c>
    </row>
    <row r="52" spans="1:17" x14ac:dyDescent="0.3">
      <c r="A52" t="s">
        <v>339</v>
      </c>
      <c r="B52">
        <v>1</v>
      </c>
      <c r="C52">
        <v>1</v>
      </c>
      <c r="D52" s="13">
        <v>1</v>
      </c>
      <c r="E52">
        <v>1</v>
      </c>
      <c r="F52">
        <v>0</v>
      </c>
      <c r="G52">
        <v>0</v>
      </c>
      <c r="H52">
        <v>0</v>
      </c>
      <c r="I52" s="13">
        <v>0</v>
      </c>
      <c r="J52" s="13">
        <v>0</v>
      </c>
      <c r="K52" s="13">
        <v>0</v>
      </c>
      <c r="L52">
        <v>0</v>
      </c>
      <c r="M52" s="13">
        <v>0</v>
      </c>
      <c r="N52">
        <v>0</v>
      </c>
      <c r="O52">
        <v>0</v>
      </c>
      <c r="P52">
        <v>0</v>
      </c>
      <c r="Q52" s="13">
        <v>0</v>
      </c>
    </row>
    <row r="53" spans="1:17" s="4" customFormat="1" x14ac:dyDescent="0.3">
      <c r="A53" s="4" t="s">
        <v>340</v>
      </c>
      <c r="B53" s="4">
        <v>0</v>
      </c>
      <c r="C53" s="4">
        <v>1</v>
      </c>
      <c r="D53" s="14">
        <v>1</v>
      </c>
      <c r="E53" s="4">
        <v>1</v>
      </c>
      <c r="F53" s="4">
        <v>1</v>
      </c>
      <c r="G53" s="4">
        <v>0</v>
      </c>
      <c r="H53" s="4">
        <v>0</v>
      </c>
      <c r="I53" s="14">
        <v>0</v>
      </c>
      <c r="J53" s="14">
        <v>0</v>
      </c>
      <c r="K53" s="14">
        <v>1</v>
      </c>
      <c r="L53" s="4">
        <v>0</v>
      </c>
      <c r="M53" s="14">
        <v>0</v>
      </c>
      <c r="N53" s="4">
        <v>1</v>
      </c>
      <c r="O53" s="4">
        <v>1</v>
      </c>
      <c r="P53" s="4">
        <v>1</v>
      </c>
      <c r="Q53" s="14">
        <v>0</v>
      </c>
    </row>
    <row r="54" spans="1:17" s="4" customFormat="1" x14ac:dyDescent="0.3">
      <c r="A54" s="4" t="s">
        <v>342</v>
      </c>
      <c r="B54" s="4">
        <v>0</v>
      </c>
      <c r="C54" s="4">
        <v>0</v>
      </c>
      <c r="D54" s="14">
        <v>0</v>
      </c>
      <c r="E54" s="4">
        <v>0</v>
      </c>
      <c r="F54" s="4">
        <v>0</v>
      </c>
      <c r="G54" s="4">
        <v>1</v>
      </c>
      <c r="H54" s="4">
        <v>1</v>
      </c>
      <c r="I54" s="14">
        <v>0</v>
      </c>
      <c r="J54" s="14">
        <v>0</v>
      </c>
      <c r="K54" s="14">
        <v>0</v>
      </c>
      <c r="L54" s="4">
        <v>1</v>
      </c>
      <c r="M54" s="14">
        <v>0</v>
      </c>
      <c r="N54" s="4">
        <v>0</v>
      </c>
      <c r="O54" s="4">
        <v>0</v>
      </c>
      <c r="P54" s="4">
        <v>0</v>
      </c>
      <c r="Q54" s="14">
        <v>1</v>
      </c>
    </row>
    <row r="55" spans="1:17" x14ac:dyDescent="0.3">
      <c r="A55" t="s">
        <v>343</v>
      </c>
      <c r="B55">
        <v>0</v>
      </c>
      <c r="C55">
        <v>0</v>
      </c>
      <c r="D55" s="13">
        <v>1</v>
      </c>
      <c r="E55">
        <v>1</v>
      </c>
      <c r="F55">
        <v>0</v>
      </c>
      <c r="G55">
        <v>1</v>
      </c>
      <c r="H55">
        <v>0</v>
      </c>
      <c r="I55" s="13">
        <v>0</v>
      </c>
      <c r="J55" s="13">
        <v>0</v>
      </c>
      <c r="K55" s="13">
        <v>0</v>
      </c>
      <c r="L55">
        <v>1</v>
      </c>
      <c r="M55" s="13">
        <v>0</v>
      </c>
      <c r="N55">
        <v>0</v>
      </c>
      <c r="O55">
        <v>0</v>
      </c>
      <c r="P55">
        <v>0</v>
      </c>
      <c r="Q55" s="13">
        <v>0</v>
      </c>
    </row>
    <row r="56" spans="1:17" x14ac:dyDescent="0.3">
      <c r="A56" t="s">
        <v>344</v>
      </c>
      <c r="B56">
        <v>0</v>
      </c>
      <c r="C56">
        <v>0</v>
      </c>
      <c r="D56" s="13">
        <v>0</v>
      </c>
      <c r="E56">
        <v>0</v>
      </c>
      <c r="F56">
        <v>1</v>
      </c>
      <c r="G56">
        <v>0</v>
      </c>
      <c r="H56">
        <v>1</v>
      </c>
      <c r="I56" s="13">
        <v>1</v>
      </c>
      <c r="J56" s="13">
        <v>0</v>
      </c>
      <c r="K56" s="13">
        <v>0</v>
      </c>
      <c r="L56">
        <v>0</v>
      </c>
      <c r="M56" s="13">
        <v>0</v>
      </c>
      <c r="N56">
        <v>0</v>
      </c>
      <c r="O56">
        <v>0</v>
      </c>
      <c r="P56">
        <v>0</v>
      </c>
      <c r="Q56" s="13">
        <v>0</v>
      </c>
    </row>
    <row r="57" spans="1:17" x14ac:dyDescent="0.3">
      <c r="A57" t="s">
        <v>345</v>
      </c>
      <c r="B57">
        <v>1</v>
      </c>
      <c r="C57">
        <v>1</v>
      </c>
      <c r="D57" s="13">
        <v>0</v>
      </c>
      <c r="E57">
        <v>0</v>
      </c>
      <c r="F57">
        <v>0</v>
      </c>
      <c r="G57">
        <v>0</v>
      </c>
      <c r="H57">
        <v>0</v>
      </c>
      <c r="I57" s="13">
        <v>0</v>
      </c>
      <c r="J57" s="13">
        <v>0</v>
      </c>
      <c r="K57" s="13">
        <v>0</v>
      </c>
      <c r="L57">
        <v>0</v>
      </c>
      <c r="M57" s="13">
        <v>1</v>
      </c>
      <c r="N57">
        <v>0</v>
      </c>
      <c r="O57">
        <v>0</v>
      </c>
      <c r="P57">
        <v>1</v>
      </c>
      <c r="Q57" s="13">
        <v>0</v>
      </c>
    </row>
    <row r="58" spans="1:17" s="4" customFormat="1" x14ac:dyDescent="0.3">
      <c r="A58" s="4" t="s">
        <v>347</v>
      </c>
      <c r="B58" s="4">
        <v>0</v>
      </c>
      <c r="C58" s="4">
        <v>0</v>
      </c>
      <c r="D58" s="14">
        <v>0</v>
      </c>
      <c r="E58" s="4">
        <v>1</v>
      </c>
      <c r="F58" s="4">
        <v>0</v>
      </c>
      <c r="G58" s="4">
        <v>1</v>
      </c>
      <c r="H58" s="4">
        <v>0</v>
      </c>
      <c r="I58" s="14">
        <v>0</v>
      </c>
      <c r="J58" s="14">
        <v>1</v>
      </c>
      <c r="K58" s="14">
        <v>0</v>
      </c>
      <c r="L58" s="4">
        <v>1</v>
      </c>
      <c r="M58" s="14">
        <v>0</v>
      </c>
      <c r="N58" s="4">
        <v>0</v>
      </c>
      <c r="O58" s="4">
        <v>0</v>
      </c>
      <c r="P58" s="4">
        <v>0</v>
      </c>
      <c r="Q58" s="14">
        <v>0</v>
      </c>
    </row>
    <row r="59" spans="1:17" s="4" customFormat="1" x14ac:dyDescent="0.3">
      <c r="A59" s="4" t="s">
        <v>348</v>
      </c>
      <c r="B59" s="4">
        <v>0</v>
      </c>
      <c r="C59" s="4">
        <v>1</v>
      </c>
      <c r="D59" s="14">
        <v>0</v>
      </c>
      <c r="E59" s="4">
        <v>0</v>
      </c>
      <c r="F59" s="4">
        <v>1</v>
      </c>
      <c r="G59" s="4">
        <v>0</v>
      </c>
      <c r="H59" s="4">
        <v>1</v>
      </c>
      <c r="I59" s="14">
        <v>1</v>
      </c>
      <c r="J59" s="14">
        <v>0</v>
      </c>
      <c r="K59" s="14">
        <v>0</v>
      </c>
      <c r="L59" s="4">
        <v>0</v>
      </c>
      <c r="M59" s="14">
        <v>0</v>
      </c>
      <c r="N59" s="4">
        <v>0</v>
      </c>
      <c r="O59" s="4">
        <v>0</v>
      </c>
      <c r="P59" s="4">
        <v>0</v>
      </c>
      <c r="Q59" s="14">
        <v>1</v>
      </c>
    </row>
    <row r="60" spans="1:17" x14ac:dyDescent="0.3">
      <c r="A60" t="s">
        <v>349</v>
      </c>
      <c r="B60">
        <v>0</v>
      </c>
      <c r="C60">
        <v>0</v>
      </c>
      <c r="D60" s="13">
        <v>0</v>
      </c>
      <c r="E60">
        <v>0</v>
      </c>
      <c r="F60">
        <v>0</v>
      </c>
      <c r="G60">
        <v>0</v>
      </c>
      <c r="H60">
        <v>0</v>
      </c>
      <c r="I60" s="13">
        <v>0</v>
      </c>
      <c r="J60" s="13">
        <v>0</v>
      </c>
      <c r="K60" s="13">
        <v>1</v>
      </c>
      <c r="L60">
        <v>1</v>
      </c>
      <c r="M60" s="13">
        <v>1</v>
      </c>
      <c r="N60">
        <v>0</v>
      </c>
      <c r="O60">
        <v>0</v>
      </c>
      <c r="P60">
        <v>0</v>
      </c>
      <c r="Q60" s="13">
        <v>0</v>
      </c>
    </row>
    <row r="61" spans="1:17" x14ac:dyDescent="0.3">
      <c r="A61" t="s">
        <v>350</v>
      </c>
      <c r="B61">
        <v>1</v>
      </c>
      <c r="C61">
        <v>1</v>
      </c>
      <c r="D61" s="13">
        <v>1</v>
      </c>
      <c r="E61">
        <v>1</v>
      </c>
      <c r="F61">
        <v>0</v>
      </c>
      <c r="G61">
        <v>1</v>
      </c>
      <c r="H61">
        <v>1</v>
      </c>
      <c r="I61" s="13">
        <v>1</v>
      </c>
      <c r="J61" s="13">
        <v>0</v>
      </c>
      <c r="K61" s="13">
        <v>0</v>
      </c>
      <c r="L61">
        <v>0</v>
      </c>
      <c r="M61" s="13">
        <v>0</v>
      </c>
      <c r="N61">
        <v>1</v>
      </c>
      <c r="O61">
        <v>1</v>
      </c>
      <c r="P61">
        <v>0</v>
      </c>
      <c r="Q61" s="13">
        <v>0</v>
      </c>
    </row>
    <row r="62" spans="1:17" s="4" customFormat="1" x14ac:dyDescent="0.3">
      <c r="A62" s="4" t="s">
        <v>353</v>
      </c>
      <c r="B62" s="4">
        <v>0</v>
      </c>
      <c r="C62" s="4">
        <v>0</v>
      </c>
      <c r="D62" s="14">
        <v>1</v>
      </c>
      <c r="E62" s="4">
        <v>0</v>
      </c>
      <c r="F62" s="4">
        <v>0</v>
      </c>
      <c r="G62" s="4">
        <v>0</v>
      </c>
      <c r="H62" s="4">
        <v>0</v>
      </c>
      <c r="I62" s="14">
        <v>0</v>
      </c>
      <c r="J62" s="14">
        <v>1</v>
      </c>
      <c r="K62" s="14">
        <v>0</v>
      </c>
      <c r="L62" s="4">
        <v>0</v>
      </c>
      <c r="M62" s="14">
        <v>1</v>
      </c>
      <c r="N62" s="4">
        <v>1</v>
      </c>
      <c r="O62" s="4">
        <v>0</v>
      </c>
      <c r="P62" s="4">
        <v>0</v>
      </c>
      <c r="Q62" s="14">
        <v>0</v>
      </c>
    </row>
    <row r="63" spans="1:17" s="4" customFormat="1" x14ac:dyDescent="0.3">
      <c r="A63" s="4" t="s">
        <v>354</v>
      </c>
      <c r="B63" s="4">
        <v>1</v>
      </c>
      <c r="C63" s="4">
        <v>1</v>
      </c>
      <c r="D63" s="14">
        <v>0</v>
      </c>
      <c r="E63" s="4">
        <v>0</v>
      </c>
      <c r="F63" s="4">
        <v>0</v>
      </c>
      <c r="G63" s="4">
        <v>0</v>
      </c>
      <c r="H63" s="4">
        <v>0</v>
      </c>
      <c r="I63" s="14">
        <v>0</v>
      </c>
      <c r="J63" s="14">
        <v>0</v>
      </c>
      <c r="K63" s="14">
        <v>0</v>
      </c>
      <c r="L63" s="4">
        <v>0</v>
      </c>
      <c r="M63" s="14">
        <v>0</v>
      </c>
      <c r="N63" s="4">
        <v>0</v>
      </c>
      <c r="O63" s="4">
        <v>0</v>
      </c>
      <c r="P63" s="4">
        <v>0</v>
      </c>
      <c r="Q63" s="14">
        <v>1</v>
      </c>
    </row>
    <row r="64" spans="1:17" x14ac:dyDescent="0.3">
      <c r="A64" t="s">
        <v>355</v>
      </c>
      <c r="B64">
        <v>1</v>
      </c>
      <c r="C64">
        <v>0</v>
      </c>
      <c r="D64" s="13">
        <v>0</v>
      </c>
      <c r="E64">
        <v>0</v>
      </c>
      <c r="F64">
        <v>0</v>
      </c>
      <c r="G64">
        <v>0</v>
      </c>
      <c r="H64">
        <v>0</v>
      </c>
      <c r="I64" s="13">
        <v>0</v>
      </c>
      <c r="J64" s="13">
        <v>1</v>
      </c>
      <c r="K64" s="13">
        <v>0</v>
      </c>
      <c r="L64">
        <v>0</v>
      </c>
      <c r="M64" s="13">
        <v>1</v>
      </c>
      <c r="N64">
        <v>0</v>
      </c>
      <c r="O64">
        <v>0</v>
      </c>
      <c r="P64">
        <v>0</v>
      </c>
      <c r="Q64" s="13">
        <v>0</v>
      </c>
    </row>
    <row r="65" spans="1:17" x14ac:dyDescent="0.3">
      <c r="A65" t="s">
        <v>356</v>
      </c>
      <c r="B65">
        <v>0</v>
      </c>
      <c r="C65">
        <v>0</v>
      </c>
      <c r="D65" s="13">
        <v>0</v>
      </c>
      <c r="E65">
        <v>0</v>
      </c>
      <c r="F65">
        <v>0</v>
      </c>
      <c r="G65">
        <v>0</v>
      </c>
      <c r="H65">
        <v>1</v>
      </c>
      <c r="I65" s="13">
        <v>1</v>
      </c>
      <c r="J65" s="13">
        <v>0</v>
      </c>
      <c r="K65" s="13">
        <v>1</v>
      </c>
      <c r="L65">
        <v>0</v>
      </c>
      <c r="M65" s="13">
        <v>0</v>
      </c>
      <c r="N65">
        <v>1</v>
      </c>
      <c r="O65">
        <v>0</v>
      </c>
      <c r="P65">
        <v>0</v>
      </c>
      <c r="Q65" s="13">
        <v>0</v>
      </c>
    </row>
    <row r="66" spans="1:17" x14ac:dyDescent="0.3">
      <c r="A66" t="s">
        <v>357</v>
      </c>
      <c r="B66">
        <v>0</v>
      </c>
      <c r="C66">
        <v>0</v>
      </c>
      <c r="D66" s="13">
        <v>0</v>
      </c>
      <c r="E66">
        <v>0</v>
      </c>
      <c r="F66">
        <v>0</v>
      </c>
      <c r="G66">
        <v>0</v>
      </c>
      <c r="H66">
        <v>0</v>
      </c>
      <c r="I66" s="13">
        <v>0</v>
      </c>
      <c r="J66" s="13">
        <v>0</v>
      </c>
      <c r="K66" s="13">
        <v>0</v>
      </c>
      <c r="L66">
        <v>1</v>
      </c>
      <c r="M66" s="13">
        <v>0</v>
      </c>
      <c r="N66">
        <v>0</v>
      </c>
      <c r="O66">
        <v>1</v>
      </c>
      <c r="P66">
        <v>1</v>
      </c>
      <c r="Q66" s="13">
        <v>1</v>
      </c>
    </row>
    <row r="67" spans="1:17" s="4" customFormat="1" x14ac:dyDescent="0.3">
      <c r="A67" s="4" t="s">
        <v>358</v>
      </c>
      <c r="B67" s="4">
        <v>0</v>
      </c>
      <c r="C67" s="4">
        <v>1</v>
      </c>
      <c r="D67" s="14">
        <v>1</v>
      </c>
      <c r="E67" s="4">
        <v>0</v>
      </c>
      <c r="F67" s="4">
        <v>1</v>
      </c>
      <c r="G67" s="4">
        <v>0</v>
      </c>
      <c r="H67" s="4">
        <v>1</v>
      </c>
      <c r="I67" s="14">
        <v>0</v>
      </c>
      <c r="J67" s="14">
        <v>0</v>
      </c>
      <c r="K67" s="14">
        <v>0</v>
      </c>
      <c r="L67" s="4">
        <v>0</v>
      </c>
      <c r="M67" s="14">
        <v>0</v>
      </c>
      <c r="N67" s="4">
        <v>0</v>
      </c>
      <c r="O67" s="4">
        <v>0</v>
      </c>
      <c r="P67" s="4">
        <v>0</v>
      </c>
      <c r="Q67" s="14">
        <v>0</v>
      </c>
    </row>
    <row r="68" spans="1:17" s="4" customFormat="1" x14ac:dyDescent="0.3">
      <c r="A68" s="4" t="s">
        <v>359</v>
      </c>
      <c r="B68" s="4">
        <v>0</v>
      </c>
      <c r="C68" s="4">
        <v>0</v>
      </c>
      <c r="D68" s="14">
        <v>0</v>
      </c>
      <c r="E68" s="4">
        <v>1</v>
      </c>
      <c r="F68" s="4">
        <v>0</v>
      </c>
      <c r="G68" s="4">
        <v>1</v>
      </c>
      <c r="H68" s="4">
        <v>0</v>
      </c>
      <c r="I68" s="14">
        <v>1</v>
      </c>
      <c r="J68" s="14">
        <v>1</v>
      </c>
      <c r="K68" s="14">
        <v>0</v>
      </c>
      <c r="L68" s="4">
        <v>0</v>
      </c>
      <c r="M68" s="14">
        <v>0</v>
      </c>
      <c r="N68" s="4">
        <v>0</v>
      </c>
      <c r="O68" s="4">
        <v>0</v>
      </c>
      <c r="P68" s="4">
        <v>0</v>
      </c>
      <c r="Q68" s="14">
        <v>0</v>
      </c>
    </row>
    <row r="69" spans="1:17" s="4" customFormat="1" x14ac:dyDescent="0.3">
      <c r="A69" s="4" t="s">
        <v>360</v>
      </c>
      <c r="B69" s="4">
        <v>0</v>
      </c>
      <c r="C69" s="4">
        <v>0</v>
      </c>
      <c r="D69" s="14">
        <v>0</v>
      </c>
      <c r="E69" s="4">
        <v>0</v>
      </c>
      <c r="F69" s="4">
        <v>0</v>
      </c>
      <c r="G69" s="4">
        <v>0</v>
      </c>
      <c r="H69" s="4">
        <v>0</v>
      </c>
      <c r="I69" s="14">
        <v>0</v>
      </c>
      <c r="J69" s="14">
        <v>0</v>
      </c>
      <c r="K69" s="14">
        <v>1</v>
      </c>
      <c r="L69" s="4">
        <v>1</v>
      </c>
      <c r="M69" s="14">
        <v>0</v>
      </c>
      <c r="N69" s="4">
        <v>1</v>
      </c>
      <c r="O69" s="4">
        <v>1</v>
      </c>
      <c r="P69" s="4">
        <v>1</v>
      </c>
      <c r="Q69" s="14">
        <v>0</v>
      </c>
    </row>
    <row r="70" spans="1:17" x14ac:dyDescent="0.3">
      <c r="A70" t="s">
        <v>361</v>
      </c>
      <c r="B70">
        <v>0</v>
      </c>
      <c r="C70">
        <v>1</v>
      </c>
      <c r="D70" s="13">
        <v>0</v>
      </c>
      <c r="E70">
        <v>0</v>
      </c>
      <c r="F70">
        <v>0</v>
      </c>
      <c r="G70">
        <v>0</v>
      </c>
      <c r="H70">
        <v>0</v>
      </c>
      <c r="I70" s="13">
        <v>0</v>
      </c>
      <c r="J70" s="13">
        <v>0</v>
      </c>
      <c r="K70" s="13">
        <v>1</v>
      </c>
      <c r="L70">
        <v>0</v>
      </c>
      <c r="M70" s="13">
        <v>1</v>
      </c>
      <c r="N70">
        <v>0</v>
      </c>
      <c r="O70">
        <v>0</v>
      </c>
      <c r="P70">
        <v>0</v>
      </c>
      <c r="Q70" s="13">
        <v>0</v>
      </c>
    </row>
    <row r="71" spans="1:17" ht="13.8" customHeight="1" x14ac:dyDescent="0.3">
      <c r="A71" t="s">
        <v>362</v>
      </c>
      <c r="B71">
        <v>1</v>
      </c>
      <c r="C71">
        <v>0</v>
      </c>
      <c r="D71" s="13">
        <v>1</v>
      </c>
      <c r="E71">
        <v>1</v>
      </c>
      <c r="F71">
        <v>0</v>
      </c>
      <c r="G71">
        <v>1</v>
      </c>
      <c r="H71">
        <v>1</v>
      </c>
      <c r="I71" s="13">
        <v>1</v>
      </c>
      <c r="J71" s="13">
        <v>0</v>
      </c>
      <c r="K71" s="13">
        <v>0</v>
      </c>
      <c r="L71">
        <v>1</v>
      </c>
      <c r="M71" s="13">
        <v>0</v>
      </c>
      <c r="N71">
        <v>1</v>
      </c>
      <c r="O71">
        <v>1</v>
      </c>
      <c r="P71">
        <v>0</v>
      </c>
      <c r="Q71" s="13">
        <v>0</v>
      </c>
    </row>
    <row r="72" spans="1:17" s="4" customFormat="1" x14ac:dyDescent="0.3">
      <c r="A72" s="4" t="s">
        <v>364</v>
      </c>
      <c r="B72" s="4">
        <v>0</v>
      </c>
      <c r="C72" s="4">
        <v>0</v>
      </c>
      <c r="D72" s="14">
        <v>0</v>
      </c>
      <c r="E72" s="4">
        <v>1</v>
      </c>
      <c r="F72" s="4">
        <v>0</v>
      </c>
      <c r="G72" s="4">
        <v>0</v>
      </c>
      <c r="H72" s="4">
        <v>0</v>
      </c>
      <c r="I72" s="14">
        <v>0</v>
      </c>
      <c r="J72" s="14">
        <v>0</v>
      </c>
      <c r="K72" s="14">
        <v>1</v>
      </c>
      <c r="L72" s="4">
        <v>0</v>
      </c>
      <c r="M72" s="14">
        <v>1</v>
      </c>
      <c r="N72" s="4">
        <v>0</v>
      </c>
      <c r="O72" s="4">
        <v>0</v>
      </c>
      <c r="P72" s="4">
        <v>1</v>
      </c>
      <c r="Q72" s="14">
        <v>0</v>
      </c>
    </row>
    <row r="73" spans="1:17" s="4" customFormat="1" x14ac:dyDescent="0.3">
      <c r="A73" s="4" t="s">
        <v>365</v>
      </c>
      <c r="B73" s="4">
        <v>0</v>
      </c>
      <c r="C73" s="4">
        <v>0</v>
      </c>
      <c r="D73" s="14">
        <v>0</v>
      </c>
      <c r="E73" s="4">
        <v>0</v>
      </c>
      <c r="F73" s="4">
        <v>1</v>
      </c>
      <c r="G73" s="4">
        <v>0</v>
      </c>
      <c r="H73" s="4">
        <v>0</v>
      </c>
      <c r="I73" s="14">
        <v>0</v>
      </c>
      <c r="J73" s="14">
        <v>1</v>
      </c>
      <c r="K73" s="14">
        <v>0</v>
      </c>
      <c r="L73" s="4">
        <v>1</v>
      </c>
      <c r="M73" s="14">
        <v>0</v>
      </c>
      <c r="N73" s="4">
        <v>1</v>
      </c>
      <c r="O73" s="4">
        <v>0</v>
      </c>
      <c r="P73" s="4">
        <v>0</v>
      </c>
      <c r="Q73" s="14">
        <v>0</v>
      </c>
    </row>
    <row r="74" spans="1:17" s="4" customFormat="1" x14ac:dyDescent="0.3">
      <c r="A74" s="4" t="s">
        <v>366</v>
      </c>
      <c r="B74" s="4">
        <v>0</v>
      </c>
      <c r="C74" s="4">
        <v>1</v>
      </c>
      <c r="D74" s="14">
        <v>0</v>
      </c>
      <c r="E74" s="4">
        <v>0</v>
      </c>
      <c r="F74" s="4">
        <v>0</v>
      </c>
      <c r="G74" s="4">
        <v>1</v>
      </c>
      <c r="H74" s="4">
        <v>1</v>
      </c>
      <c r="I74" s="14">
        <v>1</v>
      </c>
      <c r="J74" s="14">
        <v>0</v>
      </c>
      <c r="K74" s="14">
        <v>0</v>
      </c>
      <c r="L74" s="4">
        <v>0</v>
      </c>
      <c r="M74" s="14">
        <v>0</v>
      </c>
      <c r="N74" s="4">
        <v>0</v>
      </c>
      <c r="O74" s="4">
        <v>0</v>
      </c>
      <c r="P74" s="4">
        <v>0</v>
      </c>
      <c r="Q74" s="14">
        <v>1</v>
      </c>
    </row>
    <row r="75" spans="1:17" x14ac:dyDescent="0.3">
      <c r="A75" t="s">
        <v>394</v>
      </c>
      <c r="B75">
        <v>0</v>
      </c>
      <c r="C75">
        <v>0</v>
      </c>
      <c r="D75" s="13">
        <v>0</v>
      </c>
      <c r="E75">
        <v>0</v>
      </c>
      <c r="F75">
        <v>1</v>
      </c>
      <c r="G75">
        <v>0</v>
      </c>
      <c r="H75">
        <v>0</v>
      </c>
      <c r="I75" s="13">
        <v>1</v>
      </c>
      <c r="J75" s="13">
        <v>0</v>
      </c>
      <c r="K75" s="13">
        <v>0</v>
      </c>
      <c r="L75">
        <v>0</v>
      </c>
      <c r="M75" s="13">
        <v>0</v>
      </c>
      <c r="N75">
        <v>0</v>
      </c>
      <c r="O75">
        <v>0</v>
      </c>
      <c r="P75">
        <v>0</v>
      </c>
      <c r="Q75" s="13">
        <v>0</v>
      </c>
    </row>
    <row r="76" spans="1:17" x14ac:dyDescent="0.3">
      <c r="A76" t="s">
        <v>395</v>
      </c>
      <c r="B76">
        <v>0</v>
      </c>
      <c r="C76">
        <v>0</v>
      </c>
      <c r="D76" s="13">
        <v>1</v>
      </c>
      <c r="E76">
        <v>1</v>
      </c>
      <c r="F76">
        <v>0</v>
      </c>
      <c r="G76">
        <v>0</v>
      </c>
      <c r="H76">
        <v>0</v>
      </c>
      <c r="I76" s="13">
        <v>0</v>
      </c>
      <c r="J76" s="13">
        <v>0</v>
      </c>
      <c r="K76" s="13">
        <v>0</v>
      </c>
      <c r="L76">
        <v>1</v>
      </c>
      <c r="M76" s="13">
        <v>1</v>
      </c>
      <c r="N76">
        <v>1</v>
      </c>
      <c r="O76">
        <v>1</v>
      </c>
      <c r="P76">
        <v>0</v>
      </c>
      <c r="Q76" s="13">
        <v>0</v>
      </c>
    </row>
    <row r="77" spans="1:17" x14ac:dyDescent="0.3">
      <c r="A77" t="s">
        <v>396</v>
      </c>
      <c r="B77">
        <v>1</v>
      </c>
      <c r="C77">
        <v>1</v>
      </c>
      <c r="D77" s="13">
        <v>0</v>
      </c>
      <c r="E77">
        <v>0</v>
      </c>
      <c r="F77">
        <v>0</v>
      </c>
      <c r="G77">
        <v>0</v>
      </c>
      <c r="H77">
        <v>0</v>
      </c>
      <c r="I77" s="13">
        <v>0</v>
      </c>
      <c r="J77" s="13">
        <v>1</v>
      </c>
      <c r="K77" s="13">
        <v>1</v>
      </c>
      <c r="L77">
        <v>0</v>
      </c>
      <c r="M77" s="13">
        <v>0</v>
      </c>
      <c r="N77">
        <v>0</v>
      </c>
      <c r="O77">
        <v>0</v>
      </c>
      <c r="P77">
        <v>0</v>
      </c>
      <c r="Q77" s="13">
        <v>0</v>
      </c>
    </row>
    <row r="78" spans="1:17" s="4" customFormat="1" x14ac:dyDescent="0.3">
      <c r="A78" s="4" t="s">
        <v>391</v>
      </c>
      <c r="B78" s="4">
        <v>0</v>
      </c>
      <c r="C78" s="4">
        <v>0</v>
      </c>
      <c r="D78" s="14">
        <v>1</v>
      </c>
      <c r="E78" s="4">
        <v>0</v>
      </c>
      <c r="F78" s="4">
        <v>0</v>
      </c>
      <c r="G78" s="4">
        <v>0</v>
      </c>
      <c r="H78" s="4">
        <v>0</v>
      </c>
      <c r="I78" s="14">
        <v>0</v>
      </c>
      <c r="J78" s="14">
        <v>0</v>
      </c>
      <c r="K78" s="14">
        <v>0</v>
      </c>
      <c r="L78" s="4">
        <v>1</v>
      </c>
      <c r="M78" s="14">
        <v>1</v>
      </c>
      <c r="N78" s="4">
        <v>1</v>
      </c>
      <c r="O78" s="4">
        <v>0</v>
      </c>
      <c r="P78" s="4">
        <v>0</v>
      </c>
      <c r="Q78" s="14">
        <v>0</v>
      </c>
    </row>
    <row r="79" spans="1:17" s="4" customFormat="1" x14ac:dyDescent="0.3">
      <c r="A79" s="4" t="s">
        <v>392</v>
      </c>
      <c r="B79" s="4">
        <v>1</v>
      </c>
      <c r="C79" s="4">
        <v>1</v>
      </c>
      <c r="D79" s="14">
        <v>0</v>
      </c>
      <c r="E79" s="4">
        <v>0</v>
      </c>
      <c r="F79" s="4">
        <v>0</v>
      </c>
      <c r="G79" s="4">
        <v>1</v>
      </c>
      <c r="H79" s="4">
        <v>1</v>
      </c>
      <c r="I79" s="14">
        <v>1</v>
      </c>
      <c r="J79" s="14">
        <v>0</v>
      </c>
      <c r="K79" s="14">
        <v>1</v>
      </c>
      <c r="L79" s="4">
        <v>0</v>
      </c>
      <c r="M79" s="14">
        <v>0</v>
      </c>
      <c r="N79" s="4">
        <v>0</v>
      </c>
      <c r="O79" s="4">
        <v>1</v>
      </c>
      <c r="P79" s="4">
        <v>0</v>
      </c>
      <c r="Q79" s="14">
        <v>0</v>
      </c>
    </row>
    <row r="80" spans="1:17" x14ac:dyDescent="0.3">
      <c r="A80" t="s">
        <v>388</v>
      </c>
      <c r="B80">
        <v>1</v>
      </c>
      <c r="C80">
        <v>0</v>
      </c>
      <c r="D80" s="13">
        <v>1</v>
      </c>
      <c r="E80">
        <v>0</v>
      </c>
      <c r="F80">
        <v>0</v>
      </c>
      <c r="G80">
        <v>1</v>
      </c>
      <c r="H80">
        <v>0</v>
      </c>
      <c r="I80" s="13">
        <v>0</v>
      </c>
      <c r="J80" s="13">
        <v>1</v>
      </c>
      <c r="K80" s="13">
        <v>1</v>
      </c>
      <c r="L80">
        <v>0</v>
      </c>
      <c r="M80" s="13">
        <v>1</v>
      </c>
      <c r="N80">
        <v>0</v>
      </c>
      <c r="O80">
        <v>0</v>
      </c>
      <c r="P80">
        <v>0</v>
      </c>
      <c r="Q80" s="13">
        <v>0</v>
      </c>
    </row>
    <row r="81" spans="1:17" x14ac:dyDescent="0.3">
      <c r="A81" t="s">
        <v>390</v>
      </c>
      <c r="B81">
        <v>0</v>
      </c>
      <c r="C81">
        <v>1</v>
      </c>
      <c r="D81" s="13">
        <v>0</v>
      </c>
      <c r="E81">
        <v>0</v>
      </c>
      <c r="F81">
        <v>0</v>
      </c>
      <c r="G81">
        <v>0</v>
      </c>
      <c r="H81">
        <v>1</v>
      </c>
      <c r="I81" s="13">
        <v>1</v>
      </c>
      <c r="J81" s="13">
        <v>0</v>
      </c>
      <c r="K81" s="13">
        <v>0</v>
      </c>
      <c r="L81">
        <v>0</v>
      </c>
      <c r="M81" s="13">
        <v>0</v>
      </c>
      <c r="N81">
        <v>0</v>
      </c>
      <c r="O81">
        <v>1</v>
      </c>
      <c r="P81">
        <v>0</v>
      </c>
      <c r="Q81" s="13">
        <v>0</v>
      </c>
    </row>
    <row r="82" spans="1:17" s="4" customFormat="1" x14ac:dyDescent="0.3">
      <c r="A82" s="4" t="s">
        <v>385</v>
      </c>
      <c r="B82" s="4">
        <v>0</v>
      </c>
      <c r="C82" s="4">
        <v>0</v>
      </c>
      <c r="D82" s="14">
        <v>1</v>
      </c>
      <c r="E82" s="4">
        <v>0</v>
      </c>
      <c r="F82" s="4">
        <v>0</v>
      </c>
      <c r="G82" s="4">
        <v>0</v>
      </c>
      <c r="H82" s="4">
        <v>0</v>
      </c>
      <c r="I82" s="14">
        <v>0</v>
      </c>
      <c r="J82" s="14">
        <v>0</v>
      </c>
      <c r="K82" s="14">
        <v>0</v>
      </c>
      <c r="L82" s="4">
        <v>1</v>
      </c>
      <c r="M82" s="14">
        <v>1</v>
      </c>
      <c r="N82" s="4">
        <v>1</v>
      </c>
      <c r="O82" s="4">
        <v>0</v>
      </c>
      <c r="P82" s="4">
        <v>0</v>
      </c>
      <c r="Q82" s="14">
        <v>0</v>
      </c>
    </row>
    <row r="83" spans="1:17" s="4" customFormat="1" x14ac:dyDescent="0.3">
      <c r="A83" s="4" t="s">
        <v>386</v>
      </c>
      <c r="B83" s="4">
        <v>1</v>
      </c>
      <c r="C83" s="4">
        <v>0</v>
      </c>
      <c r="D83" s="14">
        <v>0</v>
      </c>
      <c r="E83" s="4">
        <v>0</v>
      </c>
      <c r="F83" s="4">
        <v>0</v>
      </c>
      <c r="G83" s="4">
        <v>1</v>
      </c>
      <c r="H83" s="4">
        <v>1</v>
      </c>
      <c r="I83" s="14">
        <v>1</v>
      </c>
      <c r="J83" s="14">
        <v>0</v>
      </c>
      <c r="K83" s="14">
        <v>0</v>
      </c>
      <c r="L83" s="4">
        <v>0</v>
      </c>
      <c r="M83" s="14">
        <v>0</v>
      </c>
      <c r="N83" s="4">
        <v>0</v>
      </c>
      <c r="O83" s="4">
        <v>0</v>
      </c>
      <c r="P83" s="4">
        <v>0</v>
      </c>
      <c r="Q83" s="14">
        <v>0</v>
      </c>
    </row>
    <row r="84" spans="1:17" s="4" customFormat="1" x14ac:dyDescent="0.3">
      <c r="A84" s="4" t="s">
        <v>387</v>
      </c>
      <c r="B84" s="4">
        <v>0</v>
      </c>
      <c r="C84" s="4">
        <v>1</v>
      </c>
      <c r="D84" s="14">
        <v>0</v>
      </c>
      <c r="E84" s="4">
        <v>0</v>
      </c>
      <c r="F84" s="4">
        <v>0</v>
      </c>
      <c r="G84" s="4">
        <v>0</v>
      </c>
      <c r="H84" s="4">
        <v>0</v>
      </c>
      <c r="I84" s="14">
        <v>0</v>
      </c>
      <c r="J84" s="14">
        <v>0</v>
      </c>
      <c r="K84" s="14">
        <v>1</v>
      </c>
      <c r="L84" s="4">
        <v>0</v>
      </c>
      <c r="M84" s="14">
        <v>0</v>
      </c>
      <c r="N84" s="4">
        <v>0</v>
      </c>
      <c r="O84" s="4">
        <v>1</v>
      </c>
      <c r="P84" s="4">
        <v>0</v>
      </c>
      <c r="Q84" s="14">
        <v>0</v>
      </c>
    </row>
    <row r="85" spans="1:17" x14ac:dyDescent="0.3">
      <c r="A85" t="s">
        <v>382</v>
      </c>
      <c r="B85">
        <v>0</v>
      </c>
      <c r="C85">
        <v>0</v>
      </c>
      <c r="D85" s="13">
        <v>0</v>
      </c>
      <c r="E85">
        <v>1</v>
      </c>
      <c r="F85">
        <v>0</v>
      </c>
      <c r="G85">
        <v>1</v>
      </c>
      <c r="H85">
        <v>0</v>
      </c>
      <c r="I85" s="13">
        <v>1</v>
      </c>
      <c r="J85" s="13">
        <v>1</v>
      </c>
      <c r="K85" s="13">
        <v>0</v>
      </c>
      <c r="L85">
        <v>0</v>
      </c>
      <c r="M85" s="13">
        <v>0</v>
      </c>
      <c r="N85">
        <v>0</v>
      </c>
      <c r="O85">
        <v>0</v>
      </c>
      <c r="P85">
        <v>0</v>
      </c>
      <c r="Q85" s="13">
        <v>0</v>
      </c>
    </row>
    <row r="86" spans="1:17" x14ac:dyDescent="0.3">
      <c r="A86" t="s">
        <v>383</v>
      </c>
      <c r="B86">
        <v>1</v>
      </c>
      <c r="C86">
        <v>1</v>
      </c>
      <c r="D86" s="13">
        <v>0</v>
      </c>
      <c r="E86">
        <v>0</v>
      </c>
      <c r="F86">
        <v>1</v>
      </c>
      <c r="G86">
        <v>0</v>
      </c>
      <c r="H86">
        <v>1</v>
      </c>
      <c r="I86" s="13">
        <v>0</v>
      </c>
      <c r="J86" s="13">
        <v>0</v>
      </c>
      <c r="K86" s="13">
        <v>0</v>
      </c>
      <c r="L86">
        <v>0</v>
      </c>
      <c r="M86" s="13">
        <v>0</v>
      </c>
      <c r="N86">
        <v>0</v>
      </c>
      <c r="O86">
        <v>1</v>
      </c>
      <c r="P86">
        <v>1</v>
      </c>
      <c r="Q86" s="13">
        <v>1</v>
      </c>
    </row>
    <row r="87" spans="1:17" s="4" customFormat="1" x14ac:dyDescent="0.3">
      <c r="A87" s="4" t="s">
        <v>379</v>
      </c>
      <c r="B87" s="4">
        <v>0</v>
      </c>
      <c r="C87" s="4">
        <v>0</v>
      </c>
      <c r="D87" s="14">
        <v>1</v>
      </c>
      <c r="E87" s="4">
        <v>0</v>
      </c>
      <c r="F87" s="4">
        <v>0</v>
      </c>
      <c r="G87" s="4">
        <v>0</v>
      </c>
      <c r="H87" s="4">
        <v>0</v>
      </c>
      <c r="I87" s="14">
        <v>0</v>
      </c>
      <c r="J87" s="14">
        <v>0</v>
      </c>
      <c r="K87" s="14">
        <v>0</v>
      </c>
      <c r="L87" s="4">
        <v>1</v>
      </c>
      <c r="M87" s="14">
        <v>1</v>
      </c>
      <c r="N87" s="4">
        <v>1</v>
      </c>
      <c r="O87" s="4">
        <v>0</v>
      </c>
      <c r="P87" s="4">
        <v>0</v>
      </c>
      <c r="Q87" s="14">
        <v>0</v>
      </c>
    </row>
    <row r="88" spans="1:17" s="4" customFormat="1" x14ac:dyDescent="0.3">
      <c r="A88" s="4" t="s">
        <v>380</v>
      </c>
      <c r="B88" s="4">
        <v>1</v>
      </c>
      <c r="C88" s="4">
        <v>0</v>
      </c>
      <c r="D88" s="14">
        <v>0</v>
      </c>
      <c r="E88" s="4">
        <v>1</v>
      </c>
      <c r="F88" s="4">
        <v>1</v>
      </c>
      <c r="G88" s="4">
        <v>1</v>
      </c>
      <c r="H88" s="4">
        <v>1</v>
      </c>
      <c r="I88" s="14">
        <v>0</v>
      </c>
      <c r="J88" s="14">
        <v>0</v>
      </c>
      <c r="K88" s="14">
        <v>1</v>
      </c>
      <c r="L88" s="4">
        <v>0</v>
      </c>
      <c r="M88" s="14">
        <v>0</v>
      </c>
      <c r="N88" s="4">
        <v>0</v>
      </c>
      <c r="O88" s="4">
        <v>1</v>
      </c>
      <c r="P88" s="4">
        <v>0</v>
      </c>
      <c r="Q88" s="14">
        <v>0</v>
      </c>
    </row>
    <row r="89" spans="1:17" x14ac:dyDescent="0.3">
      <c r="A89" t="s">
        <v>376</v>
      </c>
      <c r="B89">
        <v>0</v>
      </c>
      <c r="C89">
        <v>0</v>
      </c>
      <c r="D89" s="13">
        <v>1</v>
      </c>
      <c r="E89">
        <v>0</v>
      </c>
      <c r="F89">
        <v>0</v>
      </c>
      <c r="G89">
        <v>0</v>
      </c>
      <c r="H89">
        <v>0</v>
      </c>
      <c r="I89" s="13">
        <v>0</v>
      </c>
      <c r="J89" s="13">
        <v>0</v>
      </c>
      <c r="K89" s="13">
        <v>0</v>
      </c>
      <c r="L89">
        <v>1</v>
      </c>
      <c r="M89" s="13">
        <v>1</v>
      </c>
      <c r="N89">
        <v>1</v>
      </c>
      <c r="O89">
        <v>0</v>
      </c>
      <c r="P89">
        <v>0</v>
      </c>
      <c r="Q89" s="13">
        <v>0</v>
      </c>
    </row>
    <row r="90" spans="1:17" x14ac:dyDescent="0.3">
      <c r="A90" t="s">
        <v>377</v>
      </c>
      <c r="B90">
        <v>1</v>
      </c>
      <c r="C90">
        <v>0</v>
      </c>
      <c r="D90" s="13">
        <v>0</v>
      </c>
      <c r="E90">
        <v>1</v>
      </c>
      <c r="F90">
        <v>1</v>
      </c>
      <c r="G90">
        <v>1</v>
      </c>
      <c r="H90">
        <v>1</v>
      </c>
      <c r="I90" s="13">
        <v>0</v>
      </c>
      <c r="J90" s="13">
        <v>0</v>
      </c>
      <c r="K90" s="13">
        <v>1</v>
      </c>
      <c r="L90">
        <v>0</v>
      </c>
      <c r="M90" s="13">
        <v>0</v>
      </c>
      <c r="N90">
        <v>0</v>
      </c>
      <c r="O90">
        <v>1</v>
      </c>
      <c r="P90">
        <v>0</v>
      </c>
      <c r="Q90" s="13">
        <v>0</v>
      </c>
    </row>
    <row r="91" spans="1:17" s="4" customFormat="1" x14ac:dyDescent="0.3">
      <c r="A91" s="4" t="s">
        <v>373</v>
      </c>
      <c r="B91" s="4">
        <v>1</v>
      </c>
      <c r="C91" s="4">
        <v>0</v>
      </c>
      <c r="D91" s="14">
        <v>0</v>
      </c>
      <c r="E91" s="4">
        <v>0</v>
      </c>
      <c r="F91" s="4">
        <v>0</v>
      </c>
      <c r="G91" s="4">
        <v>1</v>
      </c>
      <c r="H91" s="4">
        <v>1</v>
      </c>
      <c r="I91" s="14">
        <v>0</v>
      </c>
      <c r="J91" s="14">
        <v>1</v>
      </c>
      <c r="K91" s="14">
        <v>0</v>
      </c>
      <c r="L91" s="4">
        <v>0</v>
      </c>
      <c r="M91" s="14">
        <v>0</v>
      </c>
      <c r="N91" s="4">
        <v>0</v>
      </c>
      <c r="O91" s="4">
        <v>0</v>
      </c>
      <c r="P91" s="4">
        <v>0</v>
      </c>
      <c r="Q91" s="14">
        <v>0</v>
      </c>
    </row>
    <row r="92" spans="1:17" s="4" customFormat="1" x14ac:dyDescent="0.3">
      <c r="A92" s="4" t="s">
        <v>374</v>
      </c>
      <c r="B92" s="4">
        <v>0</v>
      </c>
      <c r="C92" s="4">
        <v>0</v>
      </c>
      <c r="D92" s="14">
        <v>0</v>
      </c>
      <c r="E92" s="4">
        <v>0</v>
      </c>
      <c r="F92" s="4">
        <v>1</v>
      </c>
      <c r="G92" s="4">
        <v>0</v>
      </c>
      <c r="H92" s="4">
        <v>0</v>
      </c>
      <c r="I92" s="14">
        <v>0</v>
      </c>
      <c r="J92" s="14">
        <v>0</v>
      </c>
      <c r="K92" s="14">
        <v>0</v>
      </c>
      <c r="L92" s="4">
        <v>0</v>
      </c>
      <c r="M92" s="14">
        <v>1</v>
      </c>
      <c r="N92" s="4">
        <v>0</v>
      </c>
      <c r="O92" s="4">
        <v>1</v>
      </c>
      <c r="P92" s="4">
        <v>0</v>
      </c>
      <c r="Q92" s="14">
        <v>0</v>
      </c>
    </row>
    <row r="93" spans="1:17" s="4" customFormat="1" x14ac:dyDescent="0.3">
      <c r="A93" s="4" t="s">
        <v>375</v>
      </c>
      <c r="B93" s="4">
        <v>0</v>
      </c>
      <c r="C93" s="4">
        <v>0</v>
      </c>
      <c r="D93" s="14">
        <v>0</v>
      </c>
      <c r="E93" s="4">
        <v>0</v>
      </c>
      <c r="F93" s="4">
        <v>0</v>
      </c>
      <c r="G93" s="4">
        <v>0</v>
      </c>
      <c r="H93" s="4">
        <v>0</v>
      </c>
      <c r="I93" s="14">
        <v>0</v>
      </c>
      <c r="J93" s="14">
        <v>0</v>
      </c>
      <c r="K93" s="14">
        <v>1</v>
      </c>
      <c r="L93" s="4">
        <v>1</v>
      </c>
      <c r="M93" s="14">
        <v>0</v>
      </c>
      <c r="N93" s="4">
        <v>1</v>
      </c>
      <c r="O93" s="4">
        <v>0</v>
      </c>
      <c r="P93" s="4">
        <v>1</v>
      </c>
      <c r="Q93" s="14">
        <v>1</v>
      </c>
    </row>
    <row r="94" spans="1:17" x14ac:dyDescent="0.3">
      <c r="A94" t="s">
        <v>370</v>
      </c>
      <c r="B94">
        <v>0</v>
      </c>
      <c r="C94">
        <v>0</v>
      </c>
      <c r="D94" s="13">
        <v>1</v>
      </c>
      <c r="E94">
        <v>0</v>
      </c>
      <c r="F94">
        <v>0</v>
      </c>
      <c r="G94">
        <v>0</v>
      </c>
      <c r="H94">
        <v>0</v>
      </c>
      <c r="I94" s="13">
        <v>0</v>
      </c>
      <c r="J94" s="13">
        <v>0</v>
      </c>
      <c r="K94" s="13">
        <v>0</v>
      </c>
      <c r="L94">
        <v>1</v>
      </c>
      <c r="M94" s="13">
        <v>1</v>
      </c>
      <c r="N94">
        <v>1</v>
      </c>
      <c r="O94">
        <v>0</v>
      </c>
      <c r="P94">
        <v>0</v>
      </c>
      <c r="Q94" s="13">
        <v>0</v>
      </c>
    </row>
    <row r="95" spans="1:17" x14ac:dyDescent="0.3">
      <c r="A95" t="s">
        <v>371</v>
      </c>
      <c r="B95">
        <v>1</v>
      </c>
      <c r="C95">
        <v>0</v>
      </c>
      <c r="D95" s="13">
        <v>0</v>
      </c>
      <c r="E95">
        <v>1</v>
      </c>
      <c r="F95">
        <v>1</v>
      </c>
      <c r="G95">
        <v>1</v>
      </c>
      <c r="H95">
        <v>1</v>
      </c>
      <c r="I95" s="13">
        <v>0</v>
      </c>
      <c r="J95" s="13">
        <v>0</v>
      </c>
      <c r="K95" s="13">
        <v>1</v>
      </c>
      <c r="L95">
        <v>0</v>
      </c>
      <c r="M95" s="13">
        <v>0</v>
      </c>
      <c r="N95">
        <v>0</v>
      </c>
      <c r="O95">
        <v>1</v>
      </c>
      <c r="P95">
        <v>0</v>
      </c>
      <c r="Q95" s="13">
        <v>0</v>
      </c>
    </row>
    <row r="96" spans="1:17" s="4" customFormat="1" x14ac:dyDescent="0.3">
      <c r="A96" s="4" t="s">
        <v>367</v>
      </c>
      <c r="B96" s="4">
        <v>0</v>
      </c>
      <c r="C96" s="4">
        <v>0</v>
      </c>
      <c r="D96" s="14">
        <v>1</v>
      </c>
      <c r="E96" s="4">
        <v>0</v>
      </c>
      <c r="F96" s="4">
        <v>0</v>
      </c>
      <c r="G96" s="4">
        <v>1</v>
      </c>
      <c r="H96" s="4">
        <v>1</v>
      </c>
      <c r="I96" s="14">
        <v>0</v>
      </c>
      <c r="J96" s="14">
        <v>0</v>
      </c>
      <c r="K96" s="14">
        <v>0</v>
      </c>
      <c r="L96" s="4">
        <v>0</v>
      </c>
      <c r="M96" s="14">
        <v>0</v>
      </c>
      <c r="N96" s="4">
        <v>1</v>
      </c>
      <c r="O96" s="4">
        <v>0</v>
      </c>
      <c r="P96" s="4">
        <v>0</v>
      </c>
      <c r="Q96" s="14">
        <v>0</v>
      </c>
    </row>
    <row r="97" spans="1:17" s="4" customFormat="1" x14ac:dyDescent="0.3">
      <c r="A97" s="4" t="s">
        <v>368</v>
      </c>
      <c r="B97" s="4">
        <v>1</v>
      </c>
      <c r="C97" s="4">
        <v>0</v>
      </c>
      <c r="D97" s="14">
        <v>0</v>
      </c>
      <c r="E97" s="4">
        <v>0</v>
      </c>
      <c r="F97" s="4">
        <v>0</v>
      </c>
      <c r="G97" s="4">
        <v>0</v>
      </c>
      <c r="H97" s="4">
        <v>0</v>
      </c>
      <c r="I97" s="14">
        <v>0</v>
      </c>
      <c r="J97" s="14">
        <v>0</v>
      </c>
      <c r="K97" s="14">
        <v>1</v>
      </c>
      <c r="L97" s="4">
        <v>1</v>
      </c>
      <c r="M97" s="14">
        <v>1</v>
      </c>
      <c r="N97" s="4">
        <v>0</v>
      </c>
      <c r="O97" s="4">
        <v>0</v>
      </c>
      <c r="P97" s="4">
        <v>0</v>
      </c>
      <c r="Q97" s="14">
        <v>0</v>
      </c>
    </row>
    <row r="98" spans="1:17" s="4" customFormat="1" x14ac:dyDescent="0.3">
      <c r="A98" s="4" t="s">
        <v>369</v>
      </c>
      <c r="B98" s="4">
        <v>0</v>
      </c>
      <c r="C98" s="4">
        <v>1</v>
      </c>
      <c r="D98" s="14">
        <v>0</v>
      </c>
      <c r="E98" s="4">
        <v>0</v>
      </c>
      <c r="F98" s="4">
        <v>0</v>
      </c>
      <c r="G98" s="4">
        <v>0</v>
      </c>
      <c r="H98" s="4">
        <v>0</v>
      </c>
      <c r="I98" s="14">
        <v>0</v>
      </c>
      <c r="J98" s="14">
        <v>0</v>
      </c>
      <c r="K98" s="14">
        <v>0</v>
      </c>
      <c r="L98" s="4">
        <v>0</v>
      </c>
      <c r="M98" s="14">
        <v>0</v>
      </c>
      <c r="N98" s="4">
        <v>0</v>
      </c>
      <c r="O98" s="4">
        <v>1</v>
      </c>
      <c r="P98" s="4">
        <v>0</v>
      </c>
      <c r="Q98" s="14">
        <v>1</v>
      </c>
    </row>
    <row r="99" spans="1:17" x14ac:dyDescent="0.3">
      <c r="A99" t="s">
        <v>397</v>
      </c>
      <c r="B99">
        <v>1</v>
      </c>
      <c r="C99">
        <v>0</v>
      </c>
      <c r="D99" s="13">
        <v>0</v>
      </c>
      <c r="E99">
        <v>0</v>
      </c>
      <c r="F99">
        <v>0</v>
      </c>
      <c r="G99">
        <v>0</v>
      </c>
      <c r="H99">
        <v>0</v>
      </c>
      <c r="I99" s="13">
        <v>0</v>
      </c>
      <c r="J99" s="13">
        <v>1</v>
      </c>
      <c r="K99" s="13">
        <v>0</v>
      </c>
      <c r="L99">
        <v>0</v>
      </c>
      <c r="M99" s="13">
        <v>1</v>
      </c>
      <c r="N99">
        <v>0</v>
      </c>
      <c r="O99">
        <v>0</v>
      </c>
      <c r="P99">
        <v>0</v>
      </c>
      <c r="Q99" s="13">
        <v>0</v>
      </c>
    </row>
    <row r="100" spans="1:17" x14ac:dyDescent="0.3">
      <c r="A100" t="s">
        <v>398</v>
      </c>
      <c r="B100">
        <v>0</v>
      </c>
      <c r="C100">
        <v>0</v>
      </c>
      <c r="D100" s="13">
        <v>0</v>
      </c>
      <c r="E100">
        <v>0</v>
      </c>
      <c r="F100">
        <v>0</v>
      </c>
      <c r="G100">
        <v>0</v>
      </c>
      <c r="H100">
        <v>1</v>
      </c>
      <c r="I100" s="13">
        <v>1</v>
      </c>
      <c r="J100" s="13">
        <v>0</v>
      </c>
      <c r="K100" s="13">
        <v>1</v>
      </c>
      <c r="L100">
        <v>0</v>
      </c>
      <c r="M100" s="13">
        <v>0</v>
      </c>
      <c r="N100">
        <v>1</v>
      </c>
      <c r="O100">
        <v>0</v>
      </c>
      <c r="P100">
        <v>0</v>
      </c>
      <c r="Q100" s="13">
        <v>0</v>
      </c>
    </row>
    <row r="101" spans="1:17" x14ac:dyDescent="0.3">
      <c r="A101" t="s">
        <v>399</v>
      </c>
      <c r="B101">
        <v>0</v>
      </c>
      <c r="C101">
        <v>0</v>
      </c>
      <c r="D101" s="13">
        <v>0</v>
      </c>
      <c r="E101">
        <v>0</v>
      </c>
      <c r="F101">
        <v>0</v>
      </c>
      <c r="G101">
        <v>0</v>
      </c>
      <c r="H101">
        <v>0</v>
      </c>
      <c r="I101" s="13">
        <v>0</v>
      </c>
      <c r="J101" s="13">
        <v>0</v>
      </c>
      <c r="K101" s="13">
        <v>0</v>
      </c>
      <c r="L101">
        <v>1</v>
      </c>
      <c r="M101" s="13">
        <v>0</v>
      </c>
      <c r="N101">
        <v>0</v>
      </c>
      <c r="O101">
        <v>1</v>
      </c>
      <c r="P101">
        <v>1</v>
      </c>
      <c r="Q101" s="13">
        <v>1</v>
      </c>
    </row>
    <row r="102" spans="1:17" s="4" customFormat="1" x14ac:dyDescent="0.3">
      <c r="A102" s="4" t="s">
        <v>424</v>
      </c>
      <c r="B102" s="4">
        <v>0</v>
      </c>
      <c r="C102" s="4">
        <v>0</v>
      </c>
      <c r="D102" s="14">
        <v>1</v>
      </c>
      <c r="E102" s="4">
        <v>0</v>
      </c>
      <c r="F102" s="4">
        <v>0</v>
      </c>
      <c r="G102" s="4">
        <v>0</v>
      </c>
      <c r="H102" s="4">
        <v>0</v>
      </c>
      <c r="I102" s="14">
        <v>0</v>
      </c>
      <c r="J102" s="14">
        <v>1</v>
      </c>
      <c r="K102" s="14">
        <v>0</v>
      </c>
      <c r="L102" s="4">
        <v>1</v>
      </c>
      <c r="M102" s="14">
        <v>1</v>
      </c>
      <c r="N102" s="4">
        <v>0</v>
      </c>
      <c r="O102" s="4">
        <v>0</v>
      </c>
      <c r="P102" s="4">
        <v>0</v>
      </c>
      <c r="Q102" s="14">
        <v>0</v>
      </c>
    </row>
    <row r="103" spans="1:17" s="4" customFormat="1" x14ac:dyDescent="0.3">
      <c r="A103" s="4" t="s">
        <v>425</v>
      </c>
      <c r="B103" s="4">
        <v>1</v>
      </c>
      <c r="C103" s="4">
        <v>1</v>
      </c>
      <c r="D103" s="14">
        <v>0</v>
      </c>
      <c r="E103" s="4">
        <v>0</v>
      </c>
      <c r="F103" s="4">
        <v>0</v>
      </c>
      <c r="G103" s="4">
        <v>1</v>
      </c>
      <c r="H103" s="4">
        <v>1</v>
      </c>
      <c r="I103" s="14">
        <v>1</v>
      </c>
      <c r="J103" s="14">
        <v>0</v>
      </c>
      <c r="K103" s="14">
        <v>1</v>
      </c>
      <c r="L103" s="4">
        <v>0</v>
      </c>
      <c r="M103" s="14">
        <v>0</v>
      </c>
      <c r="N103" s="4">
        <v>0</v>
      </c>
      <c r="O103" s="4">
        <v>1</v>
      </c>
      <c r="P103" s="4">
        <v>0</v>
      </c>
      <c r="Q103" s="14">
        <v>0</v>
      </c>
    </row>
    <row r="104" spans="1:17" x14ac:dyDescent="0.3">
      <c r="A104" t="s">
        <v>421</v>
      </c>
      <c r="B104">
        <v>0</v>
      </c>
      <c r="C104">
        <v>0</v>
      </c>
      <c r="D104" s="13">
        <v>0</v>
      </c>
      <c r="E104">
        <v>0</v>
      </c>
      <c r="F104">
        <v>0</v>
      </c>
      <c r="G104">
        <v>1</v>
      </c>
      <c r="H104">
        <v>0</v>
      </c>
      <c r="I104" s="13">
        <v>0</v>
      </c>
      <c r="J104" s="13">
        <v>0</v>
      </c>
      <c r="K104" s="13">
        <v>0</v>
      </c>
      <c r="L104">
        <v>1</v>
      </c>
      <c r="M104" s="13">
        <v>1</v>
      </c>
      <c r="N104">
        <v>1</v>
      </c>
      <c r="O104">
        <v>0</v>
      </c>
      <c r="P104">
        <v>0</v>
      </c>
      <c r="Q104" s="13">
        <v>0</v>
      </c>
    </row>
    <row r="105" spans="1:17" x14ac:dyDescent="0.3">
      <c r="A105" t="s">
        <v>422</v>
      </c>
      <c r="B105">
        <v>1</v>
      </c>
      <c r="C105">
        <v>1</v>
      </c>
      <c r="D105" s="13">
        <v>1</v>
      </c>
      <c r="E105">
        <v>0</v>
      </c>
      <c r="F105">
        <v>0</v>
      </c>
      <c r="G105">
        <v>0</v>
      </c>
      <c r="H105">
        <v>1</v>
      </c>
      <c r="I105" s="13">
        <v>1</v>
      </c>
      <c r="J105" s="13">
        <v>0</v>
      </c>
      <c r="K105" s="13">
        <v>1</v>
      </c>
      <c r="L105">
        <v>0</v>
      </c>
      <c r="M105" s="13">
        <v>0</v>
      </c>
      <c r="N105">
        <v>0</v>
      </c>
      <c r="O105">
        <v>1</v>
      </c>
      <c r="P105">
        <v>0</v>
      </c>
      <c r="Q105" s="13">
        <v>0</v>
      </c>
    </row>
    <row r="106" spans="1:17" s="4" customFormat="1" x14ac:dyDescent="0.3">
      <c r="A106" s="4" t="s">
        <v>418</v>
      </c>
      <c r="B106" s="4">
        <v>1</v>
      </c>
      <c r="C106" s="4">
        <v>0</v>
      </c>
      <c r="D106" s="14">
        <v>0</v>
      </c>
      <c r="E106" s="4">
        <v>0</v>
      </c>
      <c r="F106" s="4">
        <v>0</v>
      </c>
      <c r="G106" s="4">
        <v>0</v>
      </c>
      <c r="H106" s="4">
        <v>0</v>
      </c>
      <c r="I106" s="14">
        <v>0</v>
      </c>
      <c r="J106" s="14">
        <v>1</v>
      </c>
      <c r="K106" s="14">
        <v>0</v>
      </c>
      <c r="L106" s="4">
        <v>0</v>
      </c>
      <c r="M106" s="14">
        <v>1</v>
      </c>
      <c r="N106" s="4">
        <v>0</v>
      </c>
      <c r="O106" s="4">
        <v>0</v>
      </c>
      <c r="P106" s="4">
        <v>0</v>
      </c>
      <c r="Q106" s="14">
        <v>0</v>
      </c>
    </row>
    <row r="107" spans="1:17" s="4" customFormat="1" x14ac:dyDescent="0.3">
      <c r="A107" s="4" t="s">
        <v>419</v>
      </c>
      <c r="B107" s="4">
        <v>0</v>
      </c>
      <c r="C107" s="4">
        <v>0</v>
      </c>
      <c r="D107" s="14">
        <v>0</v>
      </c>
      <c r="E107" s="4">
        <v>0</v>
      </c>
      <c r="F107" s="4">
        <v>0</v>
      </c>
      <c r="G107" s="4">
        <v>0</v>
      </c>
      <c r="H107" s="4">
        <v>1</v>
      </c>
      <c r="I107" s="14">
        <v>1</v>
      </c>
      <c r="J107" s="14">
        <v>0</v>
      </c>
      <c r="K107" s="14">
        <v>1</v>
      </c>
      <c r="L107" s="4">
        <v>1</v>
      </c>
      <c r="M107" s="14">
        <v>0</v>
      </c>
      <c r="N107" s="4">
        <v>1</v>
      </c>
      <c r="O107" s="4">
        <v>1</v>
      </c>
      <c r="P107" s="4">
        <v>1</v>
      </c>
      <c r="Q107" s="14">
        <v>1</v>
      </c>
    </row>
    <row r="108" spans="1:17" x14ac:dyDescent="0.3">
      <c r="A108" t="s">
        <v>415</v>
      </c>
      <c r="B108">
        <v>1</v>
      </c>
      <c r="C108">
        <v>0</v>
      </c>
      <c r="D108" s="13">
        <v>0</v>
      </c>
      <c r="E108">
        <v>0</v>
      </c>
      <c r="F108">
        <v>0</v>
      </c>
      <c r="G108">
        <v>0</v>
      </c>
      <c r="H108">
        <v>1</v>
      </c>
      <c r="I108" s="13">
        <v>0</v>
      </c>
      <c r="J108" s="13">
        <v>1</v>
      </c>
      <c r="K108" s="13">
        <v>1</v>
      </c>
      <c r="L108">
        <v>0</v>
      </c>
      <c r="M108" s="13">
        <v>1</v>
      </c>
      <c r="N108">
        <v>1</v>
      </c>
      <c r="O108">
        <v>0</v>
      </c>
      <c r="P108">
        <v>0</v>
      </c>
      <c r="Q108" s="13">
        <v>1</v>
      </c>
    </row>
    <row r="109" spans="1:17" x14ac:dyDescent="0.3">
      <c r="A109" t="s">
        <v>417</v>
      </c>
      <c r="B109">
        <v>0</v>
      </c>
      <c r="C109">
        <v>0</v>
      </c>
      <c r="D109" s="13">
        <v>0</v>
      </c>
      <c r="E109">
        <v>0</v>
      </c>
      <c r="F109">
        <v>0</v>
      </c>
      <c r="G109">
        <v>0</v>
      </c>
      <c r="H109">
        <v>0</v>
      </c>
      <c r="I109" s="13">
        <v>1</v>
      </c>
      <c r="J109" s="13">
        <v>0</v>
      </c>
      <c r="K109" s="13">
        <v>0</v>
      </c>
      <c r="L109">
        <v>1</v>
      </c>
      <c r="M109" s="13">
        <v>0</v>
      </c>
      <c r="N109">
        <v>0</v>
      </c>
      <c r="O109">
        <v>1</v>
      </c>
      <c r="P109">
        <v>1</v>
      </c>
      <c r="Q109" s="13">
        <v>0</v>
      </c>
    </row>
    <row r="110" spans="1:17" s="4" customFormat="1" x14ac:dyDescent="0.3">
      <c r="A110" s="4" t="s">
        <v>412</v>
      </c>
      <c r="B110" s="4">
        <v>0</v>
      </c>
      <c r="C110" s="4">
        <v>1</v>
      </c>
      <c r="D110" s="14">
        <v>0</v>
      </c>
      <c r="E110" s="4">
        <v>0</v>
      </c>
      <c r="F110" s="4">
        <v>1</v>
      </c>
      <c r="G110" s="4">
        <v>0</v>
      </c>
      <c r="H110" s="4">
        <v>0</v>
      </c>
      <c r="I110" s="14">
        <v>0</v>
      </c>
      <c r="J110" s="14">
        <v>0</v>
      </c>
      <c r="K110" s="14">
        <v>1</v>
      </c>
      <c r="L110" s="4">
        <v>0</v>
      </c>
      <c r="M110" s="14">
        <v>1</v>
      </c>
      <c r="N110" s="4">
        <v>0</v>
      </c>
      <c r="O110" s="4">
        <v>0</v>
      </c>
      <c r="P110" s="4">
        <v>0</v>
      </c>
      <c r="Q110" s="14">
        <v>0</v>
      </c>
    </row>
    <row r="111" spans="1:17" s="4" customFormat="1" x14ac:dyDescent="0.3">
      <c r="A111" s="4" t="s">
        <v>413</v>
      </c>
      <c r="B111" s="4">
        <v>0</v>
      </c>
      <c r="C111" s="4">
        <v>0</v>
      </c>
      <c r="D111" s="14">
        <v>0</v>
      </c>
      <c r="E111" s="4">
        <v>0</v>
      </c>
      <c r="F111" s="4">
        <v>0</v>
      </c>
      <c r="G111" s="4">
        <v>1</v>
      </c>
      <c r="H111" s="4">
        <v>0</v>
      </c>
      <c r="I111" s="14">
        <v>1</v>
      </c>
      <c r="J111" s="14">
        <v>0</v>
      </c>
      <c r="K111" s="14">
        <v>0</v>
      </c>
      <c r="L111" s="4">
        <v>0</v>
      </c>
      <c r="M111" s="14">
        <v>0</v>
      </c>
      <c r="N111" s="4">
        <v>0</v>
      </c>
      <c r="O111" s="4">
        <v>1</v>
      </c>
      <c r="P111" s="4">
        <v>0</v>
      </c>
      <c r="Q111" s="14">
        <v>1</v>
      </c>
    </row>
    <row r="112" spans="1:17" s="4" customFormat="1" x14ac:dyDescent="0.3">
      <c r="A112" s="4" t="s">
        <v>414</v>
      </c>
      <c r="B112" s="4">
        <v>0</v>
      </c>
      <c r="C112" s="4">
        <v>0</v>
      </c>
      <c r="D112" s="14">
        <v>0</v>
      </c>
      <c r="E112" s="4">
        <v>0</v>
      </c>
      <c r="F112" s="4">
        <v>0</v>
      </c>
      <c r="G112" s="4">
        <v>0</v>
      </c>
      <c r="H112" s="4">
        <v>0</v>
      </c>
      <c r="I112" s="14">
        <v>0</v>
      </c>
      <c r="J112" s="14">
        <v>1</v>
      </c>
      <c r="K112" s="14">
        <v>0</v>
      </c>
      <c r="L112" s="4">
        <v>1</v>
      </c>
      <c r="M112" s="14">
        <v>0</v>
      </c>
      <c r="N112" s="4">
        <v>1</v>
      </c>
      <c r="O112" s="4">
        <v>0</v>
      </c>
      <c r="P112" s="4">
        <v>1</v>
      </c>
      <c r="Q112" s="14">
        <v>0</v>
      </c>
    </row>
    <row r="113" spans="1:17" x14ac:dyDescent="0.3">
      <c r="A113" t="s">
        <v>409</v>
      </c>
      <c r="B113">
        <v>0</v>
      </c>
      <c r="C113">
        <v>0</v>
      </c>
      <c r="D113" s="13">
        <v>0</v>
      </c>
      <c r="E113">
        <v>0</v>
      </c>
      <c r="F113">
        <v>0</v>
      </c>
      <c r="G113">
        <v>0</v>
      </c>
      <c r="H113">
        <v>0</v>
      </c>
      <c r="I113" s="13">
        <v>0</v>
      </c>
      <c r="J113" s="13">
        <v>0</v>
      </c>
      <c r="K113" s="13">
        <v>1</v>
      </c>
      <c r="L113">
        <v>1</v>
      </c>
      <c r="M113" s="13">
        <v>0</v>
      </c>
      <c r="N113">
        <v>1</v>
      </c>
      <c r="O113">
        <v>0</v>
      </c>
      <c r="P113">
        <v>0</v>
      </c>
      <c r="Q113" s="13">
        <v>0</v>
      </c>
    </row>
    <row r="114" spans="1:17" x14ac:dyDescent="0.3">
      <c r="A114" t="s">
        <v>410</v>
      </c>
      <c r="B114">
        <v>1</v>
      </c>
      <c r="C114">
        <v>1</v>
      </c>
      <c r="D114" s="13">
        <v>1</v>
      </c>
      <c r="E114">
        <v>1</v>
      </c>
      <c r="F114">
        <v>0</v>
      </c>
      <c r="G114">
        <v>0</v>
      </c>
      <c r="H114">
        <v>0</v>
      </c>
      <c r="I114" s="13">
        <v>0</v>
      </c>
      <c r="J114" s="13">
        <v>0</v>
      </c>
      <c r="K114" s="13">
        <v>0</v>
      </c>
      <c r="L114">
        <v>0</v>
      </c>
      <c r="M114" s="13">
        <v>0</v>
      </c>
      <c r="N114">
        <v>0</v>
      </c>
      <c r="O114">
        <v>0</v>
      </c>
      <c r="P114">
        <v>0</v>
      </c>
      <c r="Q114" s="13">
        <v>0</v>
      </c>
    </row>
    <row r="115" spans="1:17" x14ac:dyDescent="0.3">
      <c r="A115" t="s">
        <v>411</v>
      </c>
      <c r="B115">
        <v>0</v>
      </c>
      <c r="C115">
        <v>0</v>
      </c>
      <c r="D115" s="13">
        <v>0</v>
      </c>
      <c r="E115">
        <v>0</v>
      </c>
      <c r="F115">
        <v>1</v>
      </c>
      <c r="G115">
        <v>1</v>
      </c>
      <c r="H115">
        <v>1</v>
      </c>
      <c r="I115" s="13">
        <v>1</v>
      </c>
      <c r="J115" s="13">
        <v>1</v>
      </c>
      <c r="K115" s="13">
        <v>0</v>
      </c>
      <c r="L115">
        <v>0</v>
      </c>
      <c r="M115" s="13">
        <v>0</v>
      </c>
      <c r="N115">
        <v>0</v>
      </c>
      <c r="O115">
        <v>0</v>
      </c>
      <c r="P115">
        <v>0</v>
      </c>
      <c r="Q115" s="13">
        <v>0</v>
      </c>
    </row>
    <row r="116" spans="1:17" s="4" customFormat="1" x14ac:dyDescent="0.3">
      <c r="A116" s="4" t="s">
        <v>406</v>
      </c>
      <c r="B116" s="4">
        <v>0</v>
      </c>
      <c r="C116" s="4">
        <v>0</v>
      </c>
      <c r="D116" s="14">
        <v>0</v>
      </c>
      <c r="E116" s="4">
        <v>0</v>
      </c>
      <c r="F116" s="4">
        <v>0</v>
      </c>
      <c r="G116" s="4">
        <v>0</v>
      </c>
      <c r="H116" s="4">
        <v>0</v>
      </c>
      <c r="I116" s="14">
        <v>0</v>
      </c>
      <c r="J116" s="14">
        <v>0</v>
      </c>
      <c r="K116" s="14">
        <v>1</v>
      </c>
      <c r="L116" s="4">
        <v>1</v>
      </c>
      <c r="M116" s="14">
        <v>1</v>
      </c>
      <c r="N116" s="4">
        <v>1</v>
      </c>
      <c r="O116" s="4">
        <v>0</v>
      </c>
      <c r="P116" s="4">
        <v>0</v>
      </c>
      <c r="Q116" s="14">
        <v>0</v>
      </c>
    </row>
    <row r="117" spans="1:17" s="4" customFormat="1" x14ac:dyDescent="0.3">
      <c r="A117" s="4" t="s">
        <v>407</v>
      </c>
      <c r="B117" s="4">
        <v>1</v>
      </c>
      <c r="C117" s="4">
        <v>1</v>
      </c>
      <c r="D117" s="14">
        <v>1</v>
      </c>
      <c r="E117" s="4">
        <v>1</v>
      </c>
      <c r="F117" s="4">
        <v>0</v>
      </c>
      <c r="G117" s="4">
        <v>0</v>
      </c>
      <c r="H117" s="4">
        <v>0</v>
      </c>
      <c r="I117" s="14">
        <v>0</v>
      </c>
      <c r="J117" s="14">
        <v>0</v>
      </c>
      <c r="K117" s="14">
        <v>0</v>
      </c>
      <c r="L117" s="4">
        <v>0</v>
      </c>
      <c r="M117" s="14">
        <v>0</v>
      </c>
      <c r="N117" s="4">
        <v>0</v>
      </c>
      <c r="O117" s="4">
        <v>0</v>
      </c>
      <c r="P117" s="4">
        <v>0</v>
      </c>
      <c r="Q117" s="14">
        <v>0</v>
      </c>
    </row>
    <row r="118" spans="1:17" s="4" customFormat="1" x14ac:dyDescent="0.3">
      <c r="A118" s="4" t="s">
        <v>408</v>
      </c>
      <c r="B118" s="4">
        <v>0</v>
      </c>
      <c r="C118" s="4">
        <v>0</v>
      </c>
      <c r="D118" s="14">
        <v>0</v>
      </c>
      <c r="E118" s="4">
        <v>0</v>
      </c>
      <c r="F118" s="4">
        <v>1</v>
      </c>
      <c r="G118" s="4">
        <v>1</v>
      </c>
      <c r="H118" s="4">
        <v>1</v>
      </c>
      <c r="I118" s="14">
        <v>1</v>
      </c>
      <c r="J118" s="14">
        <v>1</v>
      </c>
      <c r="K118" s="14">
        <v>0</v>
      </c>
      <c r="L118" s="4">
        <v>0</v>
      </c>
      <c r="M118" s="14">
        <v>0</v>
      </c>
      <c r="N118" s="4">
        <v>0</v>
      </c>
      <c r="O118" s="4">
        <v>0</v>
      </c>
      <c r="P118" s="4">
        <v>0</v>
      </c>
      <c r="Q118" s="14">
        <v>0</v>
      </c>
    </row>
    <row r="119" spans="1:17" x14ac:dyDescent="0.3">
      <c r="A119" t="s">
        <v>403</v>
      </c>
      <c r="B119">
        <v>1</v>
      </c>
      <c r="C119">
        <v>1</v>
      </c>
      <c r="D119" s="13">
        <v>1</v>
      </c>
      <c r="E119">
        <v>1</v>
      </c>
      <c r="F119">
        <v>0</v>
      </c>
      <c r="G119">
        <v>0</v>
      </c>
      <c r="H119">
        <v>0</v>
      </c>
      <c r="I119" s="13">
        <v>0</v>
      </c>
      <c r="J119" s="13">
        <v>0</v>
      </c>
      <c r="K119" s="13">
        <v>0</v>
      </c>
      <c r="L119">
        <v>0</v>
      </c>
      <c r="M119" s="13">
        <v>0</v>
      </c>
      <c r="N119">
        <v>0</v>
      </c>
      <c r="O119">
        <v>0</v>
      </c>
      <c r="P119">
        <v>0</v>
      </c>
      <c r="Q119" s="13">
        <v>0</v>
      </c>
    </row>
    <row r="120" spans="1:17" x14ac:dyDescent="0.3">
      <c r="A120" t="s">
        <v>404</v>
      </c>
      <c r="B120">
        <v>0</v>
      </c>
      <c r="C120">
        <v>0</v>
      </c>
      <c r="D120" s="13">
        <v>0</v>
      </c>
      <c r="E120">
        <v>0</v>
      </c>
      <c r="F120">
        <v>0</v>
      </c>
      <c r="G120">
        <v>0</v>
      </c>
      <c r="H120">
        <v>0</v>
      </c>
      <c r="I120" s="13">
        <v>0</v>
      </c>
      <c r="J120" s="13">
        <v>0</v>
      </c>
      <c r="K120" s="13">
        <v>1</v>
      </c>
      <c r="L120">
        <v>1</v>
      </c>
      <c r="M120" s="13">
        <v>1</v>
      </c>
      <c r="N120">
        <v>1</v>
      </c>
      <c r="O120">
        <v>0</v>
      </c>
      <c r="P120">
        <v>0</v>
      </c>
      <c r="Q120" s="13">
        <v>0</v>
      </c>
    </row>
    <row r="121" spans="1:17" x14ac:dyDescent="0.3">
      <c r="A121" t="s">
        <v>405</v>
      </c>
      <c r="B121">
        <v>0</v>
      </c>
      <c r="C121">
        <v>0</v>
      </c>
      <c r="D121" s="13">
        <v>0</v>
      </c>
      <c r="E121">
        <v>0</v>
      </c>
      <c r="F121">
        <v>0</v>
      </c>
      <c r="G121">
        <v>0</v>
      </c>
      <c r="H121">
        <v>0</v>
      </c>
      <c r="I121" s="13">
        <v>0</v>
      </c>
      <c r="J121" s="13">
        <v>0</v>
      </c>
      <c r="K121" s="13">
        <v>0</v>
      </c>
      <c r="L121">
        <v>0</v>
      </c>
      <c r="M121" s="13">
        <v>0</v>
      </c>
      <c r="N121">
        <v>0</v>
      </c>
      <c r="O121">
        <v>1</v>
      </c>
      <c r="P121">
        <v>1</v>
      </c>
      <c r="Q121" s="13">
        <v>1</v>
      </c>
    </row>
    <row r="122" spans="1:17" s="4" customFormat="1" x14ac:dyDescent="0.3">
      <c r="A122" s="4" t="s">
        <v>401</v>
      </c>
      <c r="B122" s="4">
        <v>1</v>
      </c>
      <c r="C122" s="4">
        <v>1</v>
      </c>
      <c r="D122" s="14">
        <v>1</v>
      </c>
      <c r="E122" s="4">
        <v>1</v>
      </c>
      <c r="F122" s="4">
        <v>0</v>
      </c>
      <c r="G122" s="4">
        <v>0</v>
      </c>
      <c r="H122" s="4">
        <v>0</v>
      </c>
      <c r="I122" s="14">
        <v>0</v>
      </c>
      <c r="J122" s="14">
        <v>0</v>
      </c>
      <c r="K122" s="14">
        <v>0</v>
      </c>
      <c r="L122" s="4">
        <v>0</v>
      </c>
      <c r="M122" s="14">
        <v>1</v>
      </c>
      <c r="N122" s="4">
        <v>0</v>
      </c>
      <c r="O122" s="4">
        <v>0</v>
      </c>
      <c r="P122" s="4">
        <v>0</v>
      </c>
      <c r="Q122" s="14">
        <v>0</v>
      </c>
    </row>
    <row r="123" spans="1:17" s="4" customFormat="1" x14ac:dyDescent="0.3">
      <c r="A123" s="4" t="s">
        <v>402</v>
      </c>
      <c r="B123" s="4">
        <v>0</v>
      </c>
      <c r="C123" s="4">
        <v>0</v>
      </c>
      <c r="D123" s="14">
        <v>0</v>
      </c>
      <c r="E123" s="4">
        <v>0</v>
      </c>
      <c r="F123" s="4">
        <v>1</v>
      </c>
      <c r="G123" s="4">
        <v>1</v>
      </c>
      <c r="H123" s="4">
        <v>1</v>
      </c>
      <c r="I123" s="14">
        <v>1</v>
      </c>
      <c r="J123" s="14">
        <v>1</v>
      </c>
      <c r="K123" s="14">
        <v>0</v>
      </c>
      <c r="L123" s="4">
        <v>0</v>
      </c>
      <c r="M123" s="14">
        <v>0</v>
      </c>
      <c r="N123" s="4">
        <v>0</v>
      </c>
      <c r="O123" s="4">
        <v>0</v>
      </c>
      <c r="P123" s="4">
        <v>0</v>
      </c>
      <c r="Q123" s="14">
        <v>0</v>
      </c>
    </row>
    <row r="124" spans="1:17" x14ac:dyDescent="0.3">
      <c r="A124" t="s">
        <v>452</v>
      </c>
      <c r="B124">
        <v>0</v>
      </c>
      <c r="C124">
        <v>0</v>
      </c>
      <c r="D124" s="13">
        <v>0</v>
      </c>
      <c r="E124">
        <v>0</v>
      </c>
      <c r="F124">
        <v>0</v>
      </c>
      <c r="G124">
        <v>0</v>
      </c>
      <c r="H124">
        <v>0</v>
      </c>
      <c r="I124" s="13">
        <v>0</v>
      </c>
      <c r="J124" s="13">
        <v>0</v>
      </c>
      <c r="K124" s="13">
        <v>0</v>
      </c>
      <c r="L124">
        <v>1</v>
      </c>
      <c r="M124" s="13">
        <v>1</v>
      </c>
      <c r="N124">
        <v>1</v>
      </c>
      <c r="O124">
        <v>0</v>
      </c>
      <c r="P124">
        <v>0</v>
      </c>
      <c r="Q124" s="13">
        <v>0</v>
      </c>
    </row>
    <row r="125" spans="1:17" x14ac:dyDescent="0.3">
      <c r="A125" t="s">
        <v>453</v>
      </c>
      <c r="B125">
        <v>1</v>
      </c>
      <c r="C125">
        <v>1</v>
      </c>
      <c r="D125" s="13">
        <v>1</v>
      </c>
      <c r="E125">
        <v>1</v>
      </c>
      <c r="F125">
        <v>0</v>
      </c>
      <c r="G125">
        <v>0</v>
      </c>
      <c r="H125">
        <v>0</v>
      </c>
      <c r="I125" s="13">
        <v>0</v>
      </c>
      <c r="J125" s="13">
        <v>0</v>
      </c>
      <c r="K125" s="13">
        <v>0</v>
      </c>
      <c r="L125">
        <v>0</v>
      </c>
      <c r="M125" s="13">
        <v>0</v>
      </c>
      <c r="N125">
        <v>0</v>
      </c>
      <c r="O125">
        <v>0</v>
      </c>
      <c r="P125">
        <v>0</v>
      </c>
      <c r="Q125" s="13">
        <v>0</v>
      </c>
    </row>
    <row r="126" spans="1:17" x14ac:dyDescent="0.3">
      <c r="A126" t="s">
        <v>454</v>
      </c>
      <c r="B126">
        <v>0</v>
      </c>
      <c r="C126">
        <v>0</v>
      </c>
      <c r="D126" s="13">
        <v>0</v>
      </c>
      <c r="E126">
        <v>0</v>
      </c>
      <c r="F126">
        <v>0</v>
      </c>
      <c r="G126">
        <v>1</v>
      </c>
      <c r="H126">
        <v>1</v>
      </c>
      <c r="I126" s="13">
        <v>1</v>
      </c>
      <c r="J126" s="13">
        <v>0</v>
      </c>
      <c r="K126" s="13">
        <v>0</v>
      </c>
      <c r="L126">
        <v>0</v>
      </c>
      <c r="M126" s="13">
        <v>0</v>
      </c>
      <c r="N126">
        <v>0</v>
      </c>
      <c r="O126">
        <v>0</v>
      </c>
      <c r="P126">
        <v>0</v>
      </c>
      <c r="Q126" s="13">
        <v>0</v>
      </c>
    </row>
    <row r="127" spans="1:17" s="4" customFormat="1" x14ac:dyDescent="0.3">
      <c r="A127" s="4" t="s">
        <v>449</v>
      </c>
      <c r="B127" s="4">
        <v>0</v>
      </c>
      <c r="C127" s="4">
        <v>0</v>
      </c>
      <c r="D127" s="14">
        <v>0</v>
      </c>
      <c r="E127" s="4">
        <v>0</v>
      </c>
      <c r="F127" s="4">
        <v>0</v>
      </c>
      <c r="G127" s="4">
        <v>0</v>
      </c>
      <c r="H127" s="4">
        <v>0</v>
      </c>
      <c r="I127" s="14">
        <v>0</v>
      </c>
      <c r="J127" s="14">
        <v>0</v>
      </c>
      <c r="K127" s="14">
        <v>0</v>
      </c>
      <c r="L127" s="4">
        <v>1</v>
      </c>
      <c r="M127" s="14">
        <v>1</v>
      </c>
      <c r="N127" s="4">
        <v>1</v>
      </c>
      <c r="O127" s="4">
        <v>0</v>
      </c>
      <c r="P127" s="4">
        <v>0</v>
      </c>
      <c r="Q127" s="14">
        <v>0</v>
      </c>
    </row>
    <row r="128" spans="1:17" s="4" customFormat="1" x14ac:dyDescent="0.3">
      <c r="A128" s="4" t="s">
        <v>450</v>
      </c>
      <c r="B128" s="4">
        <v>1</v>
      </c>
      <c r="C128" s="4">
        <v>1</v>
      </c>
      <c r="D128" s="14">
        <v>1</v>
      </c>
      <c r="E128" s="4">
        <v>1</v>
      </c>
      <c r="F128" s="4">
        <v>0</v>
      </c>
      <c r="G128" s="4">
        <v>0</v>
      </c>
      <c r="H128" s="4">
        <v>0</v>
      </c>
      <c r="I128" s="14">
        <v>0</v>
      </c>
      <c r="J128" s="14">
        <v>0</v>
      </c>
      <c r="K128" s="14">
        <v>0</v>
      </c>
      <c r="L128" s="4">
        <v>0</v>
      </c>
      <c r="M128" s="14">
        <v>0</v>
      </c>
      <c r="N128" s="4">
        <v>0</v>
      </c>
      <c r="O128" s="4">
        <v>0</v>
      </c>
      <c r="P128" s="4">
        <v>0</v>
      </c>
      <c r="Q128" s="14">
        <v>0</v>
      </c>
    </row>
    <row r="129" spans="1:17" s="4" customFormat="1" x14ac:dyDescent="0.3">
      <c r="A129" s="4" t="s">
        <v>451</v>
      </c>
      <c r="B129" s="4">
        <v>0</v>
      </c>
      <c r="C129" s="4">
        <v>0</v>
      </c>
      <c r="D129" s="14">
        <v>0</v>
      </c>
      <c r="E129" s="4">
        <v>0</v>
      </c>
      <c r="F129" s="4">
        <v>1</v>
      </c>
      <c r="G129" s="4">
        <v>1</v>
      </c>
      <c r="H129" s="4">
        <v>1</v>
      </c>
      <c r="I129" s="14">
        <v>1</v>
      </c>
      <c r="J129" s="14">
        <v>1</v>
      </c>
      <c r="K129" s="14">
        <v>0</v>
      </c>
      <c r="L129" s="4">
        <v>0</v>
      </c>
      <c r="M129" s="14">
        <v>0</v>
      </c>
      <c r="N129" s="4">
        <v>0</v>
      </c>
      <c r="O129" s="4">
        <v>0</v>
      </c>
      <c r="P129" s="4">
        <v>0</v>
      </c>
      <c r="Q129" s="14">
        <v>0</v>
      </c>
    </row>
    <row r="130" spans="1:17" x14ac:dyDescent="0.3">
      <c r="A130" t="s">
        <v>446</v>
      </c>
      <c r="B130">
        <v>0</v>
      </c>
      <c r="C130">
        <v>0</v>
      </c>
      <c r="D130" s="13">
        <v>0</v>
      </c>
      <c r="E130">
        <v>0</v>
      </c>
      <c r="F130">
        <v>0</v>
      </c>
      <c r="G130">
        <v>0</v>
      </c>
      <c r="H130">
        <v>0</v>
      </c>
      <c r="I130" s="13">
        <v>0</v>
      </c>
      <c r="J130" s="13">
        <v>0</v>
      </c>
      <c r="K130" s="13">
        <v>0</v>
      </c>
      <c r="L130">
        <v>1</v>
      </c>
      <c r="M130" s="13">
        <v>1</v>
      </c>
      <c r="N130">
        <v>1</v>
      </c>
      <c r="O130">
        <v>0</v>
      </c>
      <c r="P130">
        <v>0</v>
      </c>
      <c r="Q130" s="13">
        <v>0</v>
      </c>
    </row>
    <row r="131" spans="1:17" x14ac:dyDescent="0.3">
      <c r="A131" t="s">
        <v>447</v>
      </c>
      <c r="B131">
        <v>1</v>
      </c>
      <c r="C131">
        <v>1</v>
      </c>
      <c r="D131" s="13">
        <v>1</v>
      </c>
      <c r="E131">
        <v>1</v>
      </c>
      <c r="F131">
        <v>0</v>
      </c>
      <c r="G131">
        <v>0</v>
      </c>
      <c r="H131">
        <v>0</v>
      </c>
      <c r="I131" s="13">
        <v>0</v>
      </c>
      <c r="J131" s="13">
        <v>0</v>
      </c>
      <c r="K131" s="13">
        <v>0</v>
      </c>
      <c r="L131">
        <v>0</v>
      </c>
      <c r="M131" s="13">
        <v>0</v>
      </c>
      <c r="N131">
        <v>0</v>
      </c>
      <c r="O131">
        <v>0</v>
      </c>
      <c r="P131">
        <v>0</v>
      </c>
      <c r="Q131" s="13">
        <v>0</v>
      </c>
    </row>
    <row r="132" spans="1:17" x14ac:dyDescent="0.3">
      <c r="A132" t="s">
        <v>448</v>
      </c>
      <c r="B132">
        <v>0</v>
      </c>
      <c r="C132">
        <v>0</v>
      </c>
      <c r="D132" s="13">
        <v>0</v>
      </c>
      <c r="E132">
        <v>0</v>
      </c>
      <c r="F132">
        <v>1</v>
      </c>
      <c r="G132">
        <v>1</v>
      </c>
      <c r="H132">
        <v>1</v>
      </c>
      <c r="I132" s="13">
        <v>1</v>
      </c>
      <c r="J132" s="13">
        <v>1</v>
      </c>
      <c r="K132" s="13">
        <v>0</v>
      </c>
      <c r="L132">
        <v>0</v>
      </c>
      <c r="M132" s="13">
        <v>0</v>
      </c>
      <c r="N132">
        <v>0</v>
      </c>
      <c r="O132">
        <v>0</v>
      </c>
      <c r="P132">
        <v>0</v>
      </c>
      <c r="Q132" s="13">
        <v>0</v>
      </c>
    </row>
    <row r="133" spans="1:17" s="4" customFormat="1" x14ac:dyDescent="0.3">
      <c r="A133" s="4" t="s">
        <v>443</v>
      </c>
      <c r="B133" s="4">
        <v>0</v>
      </c>
      <c r="C133" s="4">
        <v>0</v>
      </c>
      <c r="D133" s="14">
        <v>0</v>
      </c>
      <c r="E133" s="4">
        <v>0</v>
      </c>
      <c r="F133" s="4">
        <v>0</v>
      </c>
      <c r="G133" s="4">
        <v>0</v>
      </c>
      <c r="H133" s="4">
        <v>0</v>
      </c>
      <c r="I133" s="14">
        <v>0</v>
      </c>
      <c r="J133" s="14">
        <v>0</v>
      </c>
      <c r="K133" s="14">
        <v>1</v>
      </c>
      <c r="L133" s="4">
        <v>1</v>
      </c>
      <c r="M133" s="14">
        <v>0</v>
      </c>
      <c r="N133" s="4">
        <v>1</v>
      </c>
      <c r="O133" s="4">
        <v>0</v>
      </c>
      <c r="P133" s="4">
        <v>0</v>
      </c>
      <c r="Q133" s="14">
        <v>0</v>
      </c>
    </row>
    <row r="134" spans="1:17" s="4" customFormat="1" x14ac:dyDescent="0.3">
      <c r="A134" s="4" t="s">
        <v>444</v>
      </c>
      <c r="B134" s="4">
        <v>1</v>
      </c>
      <c r="C134" s="4">
        <v>1</v>
      </c>
      <c r="D134" s="14">
        <v>1</v>
      </c>
      <c r="E134" s="4">
        <v>1</v>
      </c>
      <c r="F134" s="4">
        <v>0</v>
      </c>
      <c r="G134" s="4">
        <v>0</v>
      </c>
      <c r="H134" s="4">
        <v>0</v>
      </c>
      <c r="I134" s="14">
        <v>0</v>
      </c>
      <c r="J134" s="14">
        <v>0</v>
      </c>
      <c r="K134" s="14">
        <v>0</v>
      </c>
      <c r="L134" s="4">
        <v>0</v>
      </c>
      <c r="M134" s="14">
        <v>0</v>
      </c>
      <c r="N134" s="4">
        <v>0</v>
      </c>
      <c r="O134" s="4">
        <v>0</v>
      </c>
      <c r="P134" s="4">
        <v>0</v>
      </c>
      <c r="Q134" s="14">
        <v>0</v>
      </c>
    </row>
    <row r="135" spans="1:17" s="4" customFormat="1" x14ac:dyDescent="0.3">
      <c r="A135" s="4" t="s">
        <v>445</v>
      </c>
      <c r="B135" s="4">
        <v>0</v>
      </c>
      <c r="C135" s="4">
        <v>0</v>
      </c>
      <c r="D135" s="14">
        <v>0</v>
      </c>
      <c r="E135" s="4">
        <v>0</v>
      </c>
      <c r="F135" s="4">
        <v>1</v>
      </c>
      <c r="G135" s="4">
        <v>1</v>
      </c>
      <c r="H135" s="4">
        <v>1</v>
      </c>
      <c r="I135" s="14">
        <v>1</v>
      </c>
      <c r="J135" s="14">
        <v>1</v>
      </c>
      <c r="K135" s="14">
        <v>0</v>
      </c>
      <c r="L135" s="4">
        <v>0</v>
      </c>
      <c r="M135" s="14">
        <v>0</v>
      </c>
      <c r="N135" s="4">
        <v>0</v>
      </c>
      <c r="O135" s="4">
        <v>0</v>
      </c>
      <c r="P135" s="4">
        <v>0</v>
      </c>
      <c r="Q135" s="14">
        <v>0</v>
      </c>
    </row>
    <row r="136" spans="1:17" x14ac:dyDescent="0.3">
      <c r="A136" t="s">
        <v>440</v>
      </c>
      <c r="B136">
        <v>1</v>
      </c>
      <c r="C136">
        <v>0</v>
      </c>
      <c r="D136" s="13">
        <v>0</v>
      </c>
      <c r="E136">
        <v>1</v>
      </c>
      <c r="F136">
        <v>1</v>
      </c>
      <c r="G136">
        <v>0</v>
      </c>
      <c r="H136">
        <v>1</v>
      </c>
      <c r="I136" s="13">
        <v>0</v>
      </c>
      <c r="J136" s="13">
        <v>0</v>
      </c>
      <c r="K136" s="13">
        <v>1</v>
      </c>
      <c r="L136">
        <v>0</v>
      </c>
      <c r="M136" s="13">
        <v>0</v>
      </c>
      <c r="N136">
        <v>0</v>
      </c>
      <c r="O136">
        <v>0</v>
      </c>
      <c r="P136">
        <v>0</v>
      </c>
      <c r="Q136" s="13">
        <v>0</v>
      </c>
    </row>
    <row r="137" spans="1:17" x14ac:dyDescent="0.3">
      <c r="A137" t="s">
        <v>441</v>
      </c>
      <c r="B137">
        <v>0</v>
      </c>
      <c r="C137">
        <v>0</v>
      </c>
      <c r="D137" s="13">
        <v>0</v>
      </c>
      <c r="E137">
        <v>0</v>
      </c>
      <c r="F137">
        <v>0</v>
      </c>
      <c r="G137">
        <v>0</v>
      </c>
      <c r="H137">
        <v>0</v>
      </c>
      <c r="I137" s="13">
        <v>1</v>
      </c>
      <c r="J137" s="13">
        <v>1</v>
      </c>
      <c r="K137" s="13">
        <v>0</v>
      </c>
      <c r="L137">
        <v>1</v>
      </c>
      <c r="M137" s="13">
        <v>0</v>
      </c>
      <c r="N137">
        <v>0</v>
      </c>
      <c r="O137">
        <v>0</v>
      </c>
      <c r="P137">
        <v>0</v>
      </c>
      <c r="Q137" s="13">
        <v>1</v>
      </c>
    </row>
    <row r="138" spans="1:17" x14ac:dyDescent="0.3">
      <c r="A138" t="s">
        <v>442</v>
      </c>
      <c r="B138">
        <v>0</v>
      </c>
      <c r="C138">
        <v>0</v>
      </c>
      <c r="D138" s="13">
        <v>0</v>
      </c>
      <c r="E138">
        <v>0</v>
      </c>
      <c r="F138">
        <v>0</v>
      </c>
      <c r="G138">
        <v>0</v>
      </c>
      <c r="H138">
        <v>0</v>
      </c>
      <c r="I138" s="13">
        <v>0</v>
      </c>
      <c r="J138" s="13">
        <v>0</v>
      </c>
      <c r="K138" s="13">
        <v>0</v>
      </c>
      <c r="L138">
        <v>0</v>
      </c>
      <c r="M138" s="13">
        <v>1</v>
      </c>
      <c r="N138">
        <v>1</v>
      </c>
      <c r="O138">
        <v>1</v>
      </c>
      <c r="P138">
        <v>1</v>
      </c>
      <c r="Q138" s="13">
        <v>0</v>
      </c>
    </row>
    <row r="139" spans="1:17" s="4" customFormat="1" x14ac:dyDescent="0.3">
      <c r="A139" s="4" t="s">
        <v>437</v>
      </c>
      <c r="B139" s="4">
        <v>1</v>
      </c>
      <c r="C139" s="4">
        <v>0</v>
      </c>
      <c r="D139" s="14">
        <v>0</v>
      </c>
      <c r="E139" s="4">
        <v>0</v>
      </c>
      <c r="F139" s="4">
        <v>1</v>
      </c>
      <c r="G139" s="4">
        <v>1</v>
      </c>
      <c r="H139" s="4">
        <v>0</v>
      </c>
      <c r="I139" s="14">
        <v>0</v>
      </c>
      <c r="J139" s="14">
        <v>0</v>
      </c>
      <c r="K139" s="14">
        <v>1</v>
      </c>
      <c r="L139" s="4">
        <v>1</v>
      </c>
      <c r="M139" s="14">
        <v>0</v>
      </c>
      <c r="N139" s="4">
        <v>1</v>
      </c>
      <c r="O139" s="4">
        <v>0</v>
      </c>
      <c r="P139" s="4">
        <v>1</v>
      </c>
      <c r="Q139" s="14">
        <v>0</v>
      </c>
    </row>
    <row r="140" spans="1:17" s="4" customFormat="1" x14ac:dyDescent="0.3">
      <c r="A140" s="4" t="s">
        <v>439</v>
      </c>
      <c r="B140" s="4">
        <v>0</v>
      </c>
      <c r="C140" s="4">
        <v>1</v>
      </c>
      <c r="D140" s="14">
        <v>1</v>
      </c>
      <c r="E140" s="4">
        <v>1</v>
      </c>
      <c r="F140" s="4">
        <v>0</v>
      </c>
      <c r="G140" s="4">
        <v>0</v>
      </c>
      <c r="H140" s="4">
        <v>1</v>
      </c>
      <c r="I140" s="14">
        <v>0</v>
      </c>
      <c r="J140" s="14">
        <v>0</v>
      </c>
      <c r="K140" s="14">
        <v>0</v>
      </c>
      <c r="L140" s="4">
        <v>0</v>
      </c>
      <c r="M140" s="14">
        <v>1</v>
      </c>
      <c r="N140" s="4">
        <v>0</v>
      </c>
      <c r="O140" s="4">
        <v>0</v>
      </c>
      <c r="P140" s="4">
        <v>0</v>
      </c>
      <c r="Q140" s="14">
        <v>0</v>
      </c>
    </row>
    <row r="141" spans="1:17" x14ac:dyDescent="0.3">
      <c r="A141" t="s">
        <v>434</v>
      </c>
      <c r="B141">
        <v>1</v>
      </c>
      <c r="C141">
        <v>0</v>
      </c>
      <c r="D141" s="13">
        <v>0</v>
      </c>
      <c r="E141">
        <v>1</v>
      </c>
      <c r="F141">
        <v>1</v>
      </c>
      <c r="G141">
        <v>1</v>
      </c>
      <c r="H141">
        <v>0</v>
      </c>
      <c r="I141" s="13">
        <v>0</v>
      </c>
      <c r="J141" s="13">
        <v>0</v>
      </c>
      <c r="K141" s="13">
        <v>1</v>
      </c>
      <c r="L141">
        <v>0</v>
      </c>
      <c r="M141" s="13">
        <v>0</v>
      </c>
      <c r="N141">
        <v>0</v>
      </c>
      <c r="O141">
        <v>0</v>
      </c>
      <c r="P141">
        <v>0</v>
      </c>
      <c r="Q141" s="13">
        <v>0</v>
      </c>
    </row>
    <row r="142" spans="1:17" x14ac:dyDescent="0.3">
      <c r="A142" t="s">
        <v>436</v>
      </c>
      <c r="B142">
        <v>0</v>
      </c>
      <c r="C142">
        <v>1</v>
      </c>
      <c r="D142" s="13">
        <v>1</v>
      </c>
      <c r="E142">
        <v>0</v>
      </c>
      <c r="F142">
        <v>0</v>
      </c>
      <c r="G142">
        <v>0</v>
      </c>
      <c r="H142">
        <v>1</v>
      </c>
      <c r="I142" s="13">
        <v>0</v>
      </c>
      <c r="J142" s="13">
        <v>0</v>
      </c>
      <c r="K142" s="13">
        <v>0</v>
      </c>
      <c r="L142">
        <v>1</v>
      </c>
      <c r="M142" s="13">
        <v>1</v>
      </c>
      <c r="N142">
        <v>0</v>
      </c>
      <c r="O142">
        <v>0</v>
      </c>
      <c r="P142">
        <v>0</v>
      </c>
      <c r="Q142" s="13">
        <v>0</v>
      </c>
    </row>
    <row r="143" spans="1:17" s="4" customFormat="1" x14ac:dyDescent="0.3">
      <c r="A143" s="4" t="s">
        <v>431</v>
      </c>
      <c r="B143" s="4">
        <v>0</v>
      </c>
      <c r="C143" s="4">
        <v>0</v>
      </c>
      <c r="D143" s="14">
        <v>1</v>
      </c>
      <c r="E143" s="4">
        <v>0</v>
      </c>
      <c r="F143" s="4">
        <v>1</v>
      </c>
      <c r="G143" s="4">
        <v>1</v>
      </c>
      <c r="H143" s="4">
        <v>1</v>
      </c>
      <c r="I143" s="14">
        <v>1</v>
      </c>
      <c r="J143" s="14">
        <v>0</v>
      </c>
      <c r="K143" s="14">
        <v>0</v>
      </c>
      <c r="L143" s="4">
        <v>0</v>
      </c>
      <c r="M143" s="14">
        <v>0</v>
      </c>
      <c r="N143" s="4">
        <v>0</v>
      </c>
      <c r="O143" s="4">
        <v>0</v>
      </c>
      <c r="P143" s="4">
        <v>0</v>
      </c>
      <c r="Q143" s="14">
        <v>0</v>
      </c>
    </row>
    <row r="144" spans="1:17" s="4" customFormat="1" x14ac:dyDescent="0.3">
      <c r="A144" s="4" t="s">
        <v>432</v>
      </c>
      <c r="B144" s="4">
        <v>1</v>
      </c>
      <c r="C144" s="4">
        <v>1</v>
      </c>
      <c r="D144" s="14">
        <v>0</v>
      </c>
      <c r="E144" s="4">
        <v>1</v>
      </c>
      <c r="F144" s="4">
        <v>0</v>
      </c>
      <c r="G144" s="4">
        <v>0</v>
      </c>
      <c r="H144" s="4">
        <v>0</v>
      </c>
      <c r="I144" s="14">
        <v>0</v>
      </c>
      <c r="J144" s="14">
        <v>1</v>
      </c>
      <c r="K144" s="14">
        <v>0</v>
      </c>
      <c r="L144" s="4">
        <v>0</v>
      </c>
      <c r="M144" s="14">
        <v>0</v>
      </c>
      <c r="N144" s="4">
        <v>0</v>
      </c>
      <c r="O144" s="4">
        <v>1</v>
      </c>
      <c r="P144" s="4">
        <v>1</v>
      </c>
      <c r="Q144" s="14">
        <v>1</v>
      </c>
    </row>
    <row r="145" spans="1:17" x14ac:dyDescent="0.3">
      <c r="A145" t="s">
        <v>430</v>
      </c>
      <c r="B145">
        <v>1</v>
      </c>
      <c r="C145">
        <v>0</v>
      </c>
      <c r="D145" s="13">
        <v>0</v>
      </c>
      <c r="E145">
        <v>0</v>
      </c>
      <c r="F145">
        <v>1</v>
      </c>
      <c r="G145">
        <v>0</v>
      </c>
      <c r="H145">
        <v>0</v>
      </c>
      <c r="I145" s="13">
        <v>0</v>
      </c>
      <c r="J145" s="13">
        <v>1</v>
      </c>
      <c r="K145" s="13">
        <v>0</v>
      </c>
      <c r="L145">
        <v>0</v>
      </c>
      <c r="M145" s="13">
        <v>0</v>
      </c>
      <c r="N145">
        <v>1</v>
      </c>
      <c r="O145">
        <v>0</v>
      </c>
      <c r="P145">
        <v>0</v>
      </c>
      <c r="Q145" s="13">
        <v>0</v>
      </c>
    </row>
    <row r="146" spans="1:17" s="4" customFormat="1" x14ac:dyDescent="0.3">
      <c r="A146" s="4" t="s">
        <v>427</v>
      </c>
      <c r="B146" s="4">
        <v>1</v>
      </c>
      <c r="C146" s="4">
        <v>0</v>
      </c>
      <c r="D146" s="14">
        <v>1</v>
      </c>
      <c r="E146" s="4">
        <v>0</v>
      </c>
      <c r="F146" s="4">
        <v>0</v>
      </c>
      <c r="G146" s="4">
        <v>0</v>
      </c>
      <c r="H146" s="4">
        <v>0</v>
      </c>
      <c r="I146" s="14">
        <v>0</v>
      </c>
      <c r="J146" s="14">
        <v>0</v>
      </c>
      <c r="K146" s="14">
        <v>1</v>
      </c>
      <c r="L146" s="4">
        <v>0</v>
      </c>
      <c r="M146" s="14">
        <v>0</v>
      </c>
      <c r="N146" s="4">
        <v>1</v>
      </c>
      <c r="O146" s="4">
        <v>0</v>
      </c>
      <c r="P146" s="4">
        <v>0</v>
      </c>
      <c r="Q146" s="14">
        <v>0</v>
      </c>
    </row>
    <row r="147" spans="1:17" s="4" customFormat="1" x14ac:dyDescent="0.3">
      <c r="A147" s="4" t="s">
        <v>428</v>
      </c>
      <c r="B147" s="4">
        <v>0</v>
      </c>
      <c r="C147" s="4">
        <v>0</v>
      </c>
      <c r="D147" s="14">
        <v>0</v>
      </c>
      <c r="E147" s="4">
        <v>0</v>
      </c>
      <c r="F147" s="4">
        <v>0</v>
      </c>
      <c r="G147" s="4">
        <v>1</v>
      </c>
      <c r="H147" s="4">
        <v>1</v>
      </c>
      <c r="I147" s="14">
        <v>1</v>
      </c>
      <c r="J147" s="14">
        <v>1</v>
      </c>
      <c r="K147" s="14">
        <v>0</v>
      </c>
      <c r="L147" s="4">
        <v>0</v>
      </c>
      <c r="M147" s="14">
        <v>0</v>
      </c>
      <c r="N147" s="4">
        <v>0</v>
      </c>
      <c r="O147" s="4">
        <v>0</v>
      </c>
      <c r="P147" s="4">
        <v>0</v>
      </c>
      <c r="Q147" s="14">
        <v>0</v>
      </c>
    </row>
    <row r="148" spans="1:17" s="4" customFormat="1" x14ac:dyDescent="0.3">
      <c r="A148" s="4" t="s">
        <v>429</v>
      </c>
      <c r="B148" s="4">
        <v>0</v>
      </c>
      <c r="C148" s="4">
        <v>0</v>
      </c>
      <c r="D148" s="14">
        <v>0</v>
      </c>
      <c r="E148" s="4">
        <v>1</v>
      </c>
      <c r="F148" s="4">
        <v>1</v>
      </c>
      <c r="G148" s="4">
        <v>0</v>
      </c>
      <c r="H148" s="4">
        <v>0</v>
      </c>
      <c r="I148" s="14">
        <v>0</v>
      </c>
      <c r="J148" s="14">
        <v>0</v>
      </c>
      <c r="K148" s="14">
        <v>0</v>
      </c>
      <c r="L148" s="4">
        <v>1</v>
      </c>
      <c r="M148" s="14">
        <v>0</v>
      </c>
      <c r="N148" s="4">
        <v>0</v>
      </c>
      <c r="O148" s="4">
        <v>0</v>
      </c>
      <c r="P148" s="4">
        <v>1</v>
      </c>
      <c r="Q148" s="14">
        <v>1</v>
      </c>
    </row>
    <row r="149" spans="1:17" x14ac:dyDescent="0.3">
      <c r="A149" t="s">
        <v>460</v>
      </c>
      <c r="B149">
        <v>0</v>
      </c>
      <c r="C149">
        <v>1</v>
      </c>
      <c r="D149" s="13">
        <v>1</v>
      </c>
      <c r="E149">
        <v>0</v>
      </c>
      <c r="F149">
        <v>0</v>
      </c>
      <c r="G149">
        <v>0</v>
      </c>
      <c r="H149">
        <v>0</v>
      </c>
      <c r="I149" s="13">
        <v>0</v>
      </c>
      <c r="J149" s="13">
        <v>1</v>
      </c>
      <c r="K149" s="13">
        <v>0</v>
      </c>
      <c r="L149">
        <v>0</v>
      </c>
      <c r="M149" s="13">
        <v>0</v>
      </c>
      <c r="N149">
        <v>0</v>
      </c>
      <c r="O149">
        <v>0</v>
      </c>
      <c r="P149">
        <v>1</v>
      </c>
      <c r="Q149" s="13">
        <v>0</v>
      </c>
    </row>
    <row r="150" spans="1:17" x14ac:dyDescent="0.3">
      <c r="A150" t="s">
        <v>461</v>
      </c>
      <c r="B150">
        <v>1</v>
      </c>
      <c r="C150">
        <v>0</v>
      </c>
      <c r="D150" s="13">
        <v>0</v>
      </c>
      <c r="E150">
        <v>1</v>
      </c>
      <c r="F150">
        <v>0</v>
      </c>
      <c r="G150">
        <v>0</v>
      </c>
      <c r="H150">
        <v>0</v>
      </c>
      <c r="I150" s="13">
        <v>0</v>
      </c>
      <c r="J150" s="13">
        <v>0</v>
      </c>
      <c r="K150" s="13">
        <v>0</v>
      </c>
      <c r="L150">
        <v>0</v>
      </c>
      <c r="M150" s="13">
        <v>0</v>
      </c>
      <c r="N150">
        <v>0</v>
      </c>
      <c r="O150">
        <v>0</v>
      </c>
      <c r="P150">
        <v>0</v>
      </c>
      <c r="Q150" s="13">
        <v>1</v>
      </c>
    </row>
    <row r="151" spans="1:17" x14ac:dyDescent="0.3">
      <c r="A151" t="s">
        <v>462</v>
      </c>
      <c r="B151">
        <v>0</v>
      </c>
      <c r="C151">
        <v>0</v>
      </c>
      <c r="D151" s="13">
        <v>0</v>
      </c>
      <c r="E151">
        <v>0</v>
      </c>
      <c r="F151">
        <v>1</v>
      </c>
      <c r="G151">
        <v>1</v>
      </c>
      <c r="H151">
        <v>1</v>
      </c>
      <c r="I151" s="13">
        <v>1</v>
      </c>
      <c r="J151" s="13">
        <v>0</v>
      </c>
      <c r="K151" s="13">
        <v>0</v>
      </c>
      <c r="L151">
        <v>1</v>
      </c>
      <c r="M151" s="13">
        <v>0</v>
      </c>
      <c r="N151">
        <v>0</v>
      </c>
      <c r="O151">
        <v>0</v>
      </c>
      <c r="P151">
        <v>0</v>
      </c>
      <c r="Q151" s="13">
        <v>0</v>
      </c>
    </row>
    <row r="152" spans="1:17" s="4" customFormat="1" x14ac:dyDescent="0.3">
      <c r="A152" s="4" t="s">
        <v>457</v>
      </c>
      <c r="B152" s="4">
        <v>1</v>
      </c>
      <c r="C152" s="4">
        <v>0</v>
      </c>
      <c r="D152" s="14">
        <v>0</v>
      </c>
      <c r="E152" s="4">
        <v>0</v>
      </c>
      <c r="F152" s="4">
        <v>1</v>
      </c>
      <c r="G152" s="4">
        <v>0</v>
      </c>
      <c r="H152" s="4">
        <v>0</v>
      </c>
      <c r="I152" s="14">
        <v>0</v>
      </c>
      <c r="J152" s="14">
        <v>1</v>
      </c>
      <c r="K152" s="14">
        <v>0</v>
      </c>
      <c r="L152" s="4">
        <v>0</v>
      </c>
      <c r="M152" s="14">
        <v>1</v>
      </c>
      <c r="N152" s="4">
        <v>0</v>
      </c>
      <c r="O152" s="4">
        <v>0</v>
      </c>
      <c r="P152" s="4">
        <v>0</v>
      </c>
      <c r="Q152" s="14">
        <v>1</v>
      </c>
    </row>
    <row r="153" spans="1:17" s="4" customFormat="1" x14ac:dyDescent="0.3">
      <c r="A153" s="4" t="s">
        <v>458</v>
      </c>
      <c r="B153" s="4">
        <v>0</v>
      </c>
      <c r="C153" s="4">
        <v>0</v>
      </c>
      <c r="D153" s="14">
        <v>0</v>
      </c>
      <c r="E153" s="4">
        <v>0</v>
      </c>
      <c r="F153" s="4">
        <v>0</v>
      </c>
      <c r="G153" s="4">
        <v>0</v>
      </c>
      <c r="H153" s="4">
        <v>1</v>
      </c>
      <c r="I153" s="14">
        <v>0</v>
      </c>
      <c r="J153" s="14">
        <v>0</v>
      </c>
      <c r="K153" s="14">
        <v>1</v>
      </c>
      <c r="L153" s="4">
        <v>1</v>
      </c>
      <c r="M153" s="14">
        <v>0</v>
      </c>
      <c r="N153" s="4">
        <v>0</v>
      </c>
      <c r="O153" s="4">
        <v>0</v>
      </c>
      <c r="P153" s="4">
        <v>0</v>
      </c>
      <c r="Q153" s="14">
        <v>0</v>
      </c>
    </row>
    <row r="154" spans="1:17" s="4" customFormat="1" x14ac:dyDescent="0.3">
      <c r="A154" s="4" t="s">
        <v>459</v>
      </c>
      <c r="B154" s="4">
        <v>0</v>
      </c>
      <c r="C154" s="4">
        <v>0</v>
      </c>
      <c r="D154" s="14">
        <v>0</v>
      </c>
      <c r="E154" s="4">
        <v>0</v>
      </c>
      <c r="F154" s="4">
        <v>0</v>
      </c>
      <c r="G154" s="4">
        <v>0</v>
      </c>
      <c r="H154" s="4">
        <v>0</v>
      </c>
      <c r="I154" s="14">
        <v>1</v>
      </c>
      <c r="J154" s="14">
        <v>0</v>
      </c>
      <c r="K154" s="14">
        <v>0</v>
      </c>
      <c r="L154" s="4">
        <v>0</v>
      </c>
      <c r="M154" s="14">
        <v>0</v>
      </c>
      <c r="N154" s="4">
        <v>1</v>
      </c>
      <c r="O154" s="4">
        <v>1</v>
      </c>
      <c r="P154" s="4">
        <v>1</v>
      </c>
      <c r="Q154" s="14">
        <v>0</v>
      </c>
    </row>
    <row r="155" spans="1:17" x14ac:dyDescent="0.3">
      <c r="A155" t="s">
        <v>456</v>
      </c>
      <c r="B155">
        <v>1</v>
      </c>
      <c r="C155">
        <v>0</v>
      </c>
      <c r="D155" s="13">
        <v>0</v>
      </c>
      <c r="E155">
        <v>0</v>
      </c>
      <c r="F155">
        <v>1</v>
      </c>
      <c r="G155">
        <v>0</v>
      </c>
      <c r="H155">
        <v>0</v>
      </c>
      <c r="I155" s="13">
        <v>0</v>
      </c>
      <c r="J155" s="13">
        <v>1</v>
      </c>
      <c r="K155" s="13">
        <v>0</v>
      </c>
      <c r="L155">
        <v>0</v>
      </c>
      <c r="M155" s="13">
        <v>0</v>
      </c>
      <c r="N155">
        <v>1</v>
      </c>
      <c r="O155">
        <v>0</v>
      </c>
      <c r="P155">
        <v>0</v>
      </c>
      <c r="Q155" s="13">
        <v>0</v>
      </c>
    </row>
    <row r="156" spans="1:17" s="4" customFormat="1" x14ac:dyDescent="0.3">
      <c r="A156" s="4" t="s">
        <v>455</v>
      </c>
      <c r="B156" s="4">
        <v>1</v>
      </c>
      <c r="C156" s="4">
        <v>0</v>
      </c>
      <c r="D156" s="14">
        <v>0</v>
      </c>
      <c r="E156" s="4">
        <v>0</v>
      </c>
      <c r="F156" s="4">
        <v>1</v>
      </c>
      <c r="G156" s="4">
        <v>0</v>
      </c>
      <c r="H156" s="4">
        <v>0</v>
      </c>
      <c r="I156" s="14">
        <v>0</v>
      </c>
      <c r="J156" s="14">
        <v>1</v>
      </c>
      <c r="K156" s="14">
        <v>0</v>
      </c>
      <c r="L156" s="4">
        <v>0</v>
      </c>
      <c r="M156" s="14">
        <v>0</v>
      </c>
      <c r="N156" s="4">
        <v>1</v>
      </c>
      <c r="O156" s="4">
        <v>0</v>
      </c>
      <c r="P156" s="4">
        <v>0</v>
      </c>
      <c r="Q156" s="14">
        <v>0</v>
      </c>
    </row>
    <row r="157" spans="1:17" x14ac:dyDescent="0.3">
      <c r="A157" t="s">
        <v>476</v>
      </c>
      <c r="B157">
        <v>0</v>
      </c>
      <c r="C157">
        <v>0</v>
      </c>
      <c r="D157" s="13">
        <v>0</v>
      </c>
      <c r="E157">
        <v>0</v>
      </c>
      <c r="F157">
        <v>0</v>
      </c>
      <c r="G157">
        <v>0</v>
      </c>
      <c r="H157">
        <v>0</v>
      </c>
      <c r="I157" s="13">
        <v>0</v>
      </c>
      <c r="J157" s="13">
        <v>1</v>
      </c>
      <c r="K157" s="13">
        <v>0</v>
      </c>
      <c r="L157">
        <v>1</v>
      </c>
      <c r="M157" s="13">
        <v>1</v>
      </c>
      <c r="N157">
        <v>0</v>
      </c>
      <c r="O157">
        <v>1</v>
      </c>
      <c r="P157">
        <v>0</v>
      </c>
      <c r="Q157" s="13">
        <v>0</v>
      </c>
    </row>
    <row r="158" spans="1:17" x14ac:dyDescent="0.3">
      <c r="A158" t="s">
        <v>477</v>
      </c>
      <c r="B158">
        <v>0</v>
      </c>
      <c r="C158">
        <v>0</v>
      </c>
      <c r="D158" s="13">
        <v>0</v>
      </c>
      <c r="E158">
        <v>0</v>
      </c>
      <c r="F158">
        <v>1</v>
      </c>
      <c r="G158">
        <v>1</v>
      </c>
      <c r="H158">
        <v>1</v>
      </c>
      <c r="I158" s="13">
        <v>0</v>
      </c>
      <c r="J158" s="13">
        <v>0</v>
      </c>
      <c r="K158" s="13">
        <v>1</v>
      </c>
      <c r="L158">
        <v>0</v>
      </c>
      <c r="M158" s="13">
        <v>0</v>
      </c>
      <c r="N158">
        <v>0</v>
      </c>
      <c r="O158">
        <v>0</v>
      </c>
      <c r="P158">
        <v>0</v>
      </c>
      <c r="Q158" s="13">
        <v>0</v>
      </c>
    </row>
    <row r="159" spans="1:17" x14ac:dyDescent="0.3">
      <c r="A159" t="s">
        <v>478</v>
      </c>
      <c r="B159">
        <v>1</v>
      </c>
      <c r="C159">
        <v>1</v>
      </c>
      <c r="D159" s="13">
        <v>1</v>
      </c>
      <c r="E159">
        <v>1</v>
      </c>
      <c r="F159">
        <v>0</v>
      </c>
      <c r="G159">
        <v>0</v>
      </c>
      <c r="H159">
        <v>0</v>
      </c>
      <c r="I159" s="13">
        <v>0</v>
      </c>
      <c r="J159" s="13">
        <v>0</v>
      </c>
      <c r="K159" s="13">
        <v>0</v>
      </c>
      <c r="L159">
        <v>0</v>
      </c>
      <c r="M159" s="13">
        <v>0</v>
      </c>
      <c r="N159">
        <v>0</v>
      </c>
      <c r="O159">
        <v>0</v>
      </c>
      <c r="P159">
        <v>0</v>
      </c>
      <c r="Q159" s="13">
        <v>0</v>
      </c>
    </row>
    <row r="160" spans="1:17" s="4" customFormat="1" x14ac:dyDescent="0.3">
      <c r="A160" s="4" t="s">
        <v>473</v>
      </c>
      <c r="B160" s="4">
        <v>0</v>
      </c>
      <c r="C160" s="4">
        <v>0</v>
      </c>
      <c r="D160" s="14">
        <v>1</v>
      </c>
      <c r="E160" s="4">
        <v>0</v>
      </c>
      <c r="F160" s="4">
        <v>0</v>
      </c>
      <c r="G160" s="4">
        <v>0</v>
      </c>
      <c r="H160" s="4">
        <v>0</v>
      </c>
      <c r="I160" s="14">
        <v>0</v>
      </c>
      <c r="J160" s="14">
        <v>0</v>
      </c>
      <c r="K160" s="14">
        <v>1</v>
      </c>
      <c r="L160" s="4">
        <v>0</v>
      </c>
      <c r="M160" s="14">
        <v>0</v>
      </c>
      <c r="N160" s="4">
        <v>0</v>
      </c>
      <c r="O160" s="4">
        <v>0</v>
      </c>
      <c r="P160" s="4">
        <v>1</v>
      </c>
      <c r="Q160" s="14">
        <v>0</v>
      </c>
    </row>
    <row r="161" spans="1:17" s="4" customFormat="1" x14ac:dyDescent="0.3">
      <c r="A161" s="4" t="s">
        <v>474</v>
      </c>
      <c r="B161" s="4">
        <v>1</v>
      </c>
      <c r="C161" s="4">
        <v>1</v>
      </c>
      <c r="D161" s="14">
        <v>0</v>
      </c>
      <c r="E161" s="4">
        <v>1</v>
      </c>
      <c r="F161" s="4">
        <v>0</v>
      </c>
      <c r="G161" s="4">
        <v>0</v>
      </c>
      <c r="H161" s="4">
        <v>0</v>
      </c>
      <c r="I161" s="14">
        <v>0</v>
      </c>
      <c r="J161" s="14">
        <v>1</v>
      </c>
      <c r="K161" s="14">
        <v>0</v>
      </c>
      <c r="L161" s="4">
        <v>0</v>
      </c>
      <c r="M161" s="14">
        <v>0</v>
      </c>
      <c r="N161" s="4">
        <v>0</v>
      </c>
      <c r="O161" s="4">
        <v>0</v>
      </c>
      <c r="P161" s="4">
        <v>0</v>
      </c>
      <c r="Q161" s="14">
        <v>0</v>
      </c>
    </row>
    <row r="162" spans="1:17" s="4" customFormat="1" x14ac:dyDescent="0.3">
      <c r="A162" s="4" t="s">
        <v>475</v>
      </c>
      <c r="B162" s="4">
        <v>0</v>
      </c>
      <c r="C162" s="4">
        <v>0</v>
      </c>
      <c r="D162" s="14">
        <v>0</v>
      </c>
      <c r="E162" s="4">
        <v>0</v>
      </c>
      <c r="F162" s="4">
        <v>1</v>
      </c>
      <c r="G162" s="4">
        <v>1</v>
      </c>
      <c r="H162" s="4">
        <v>1</v>
      </c>
      <c r="I162" s="14">
        <v>1</v>
      </c>
      <c r="J162" s="14">
        <v>0</v>
      </c>
      <c r="K162" s="14">
        <v>0</v>
      </c>
      <c r="L162" s="4">
        <v>1</v>
      </c>
      <c r="M162" s="14">
        <v>0</v>
      </c>
      <c r="N162" s="4">
        <v>0</v>
      </c>
      <c r="O162" s="4">
        <v>0</v>
      </c>
      <c r="P162" s="4">
        <v>0</v>
      </c>
      <c r="Q162" s="14">
        <v>0</v>
      </c>
    </row>
    <row r="163" spans="1:17" x14ac:dyDescent="0.3">
      <c r="A163" t="s">
        <v>472</v>
      </c>
      <c r="B163">
        <v>0</v>
      </c>
      <c r="C163">
        <v>1</v>
      </c>
      <c r="D163" s="13">
        <v>1</v>
      </c>
      <c r="E163">
        <v>1</v>
      </c>
      <c r="F163">
        <v>0</v>
      </c>
      <c r="G163">
        <v>1</v>
      </c>
      <c r="H163">
        <v>1</v>
      </c>
      <c r="I163" s="13">
        <v>1</v>
      </c>
      <c r="J163" s="13">
        <v>0</v>
      </c>
      <c r="K163" s="13">
        <v>1</v>
      </c>
      <c r="L163">
        <v>1</v>
      </c>
      <c r="M163" s="13">
        <v>1</v>
      </c>
      <c r="N163">
        <v>0</v>
      </c>
      <c r="O163">
        <v>1</v>
      </c>
      <c r="P163">
        <v>1</v>
      </c>
      <c r="Q163" s="13">
        <v>1</v>
      </c>
    </row>
    <row r="164" spans="1:17" s="4" customFormat="1" x14ac:dyDescent="0.3">
      <c r="A164" s="4" t="s">
        <v>470</v>
      </c>
      <c r="B164" s="4">
        <v>1</v>
      </c>
      <c r="C164" s="4">
        <v>0</v>
      </c>
      <c r="D164" s="14">
        <v>0</v>
      </c>
      <c r="E164" s="4">
        <v>0</v>
      </c>
      <c r="F164" s="4">
        <v>0</v>
      </c>
      <c r="G164" s="4">
        <v>0</v>
      </c>
      <c r="H164" s="4">
        <v>1</v>
      </c>
      <c r="I164" s="14">
        <v>1</v>
      </c>
      <c r="J164" s="14">
        <v>1</v>
      </c>
      <c r="K164" s="14">
        <v>0</v>
      </c>
      <c r="L164" s="4">
        <v>0</v>
      </c>
      <c r="M164" s="14">
        <v>0</v>
      </c>
      <c r="N164" s="4">
        <v>0</v>
      </c>
      <c r="O164" s="4">
        <v>0</v>
      </c>
      <c r="P164" s="4">
        <v>0</v>
      </c>
      <c r="Q164" s="14">
        <v>0</v>
      </c>
    </row>
    <row r="165" spans="1:17" s="4" customFormat="1" x14ac:dyDescent="0.3">
      <c r="A165" s="4" t="s">
        <v>471</v>
      </c>
      <c r="B165" s="4">
        <v>0</v>
      </c>
      <c r="C165" s="4">
        <v>1</v>
      </c>
      <c r="D165" s="14">
        <v>1</v>
      </c>
      <c r="E165" s="4">
        <v>1</v>
      </c>
      <c r="F165" s="4">
        <v>1</v>
      </c>
      <c r="G165" s="4">
        <v>0</v>
      </c>
      <c r="H165" s="4">
        <v>0</v>
      </c>
      <c r="I165" s="14">
        <v>0</v>
      </c>
      <c r="J165" s="14">
        <v>0</v>
      </c>
      <c r="K165" s="14">
        <v>0</v>
      </c>
      <c r="L165" s="4">
        <v>0</v>
      </c>
      <c r="M165" s="14">
        <v>0</v>
      </c>
      <c r="N165" s="4">
        <v>0</v>
      </c>
      <c r="O165" s="4">
        <v>0</v>
      </c>
      <c r="P165" s="4">
        <v>0</v>
      </c>
      <c r="Q165" s="14">
        <v>0</v>
      </c>
    </row>
    <row r="166" spans="1:17" x14ac:dyDescent="0.3">
      <c r="A166" t="s">
        <v>466</v>
      </c>
      <c r="B166">
        <v>0</v>
      </c>
      <c r="C166">
        <v>0</v>
      </c>
      <c r="D166" s="13">
        <v>0</v>
      </c>
      <c r="E166">
        <v>1</v>
      </c>
      <c r="F166">
        <v>0</v>
      </c>
      <c r="G166">
        <v>0</v>
      </c>
      <c r="H166">
        <v>0</v>
      </c>
      <c r="I166" s="13">
        <v>0</v>
      </c>
      <c r="J166" s="13">
        <v>0</v>
      </c>
      <c r="K166" s="13">
        <v>0</v>
      </c>
      <c r="L166">
        <v>0</v>
      </c>
      <c r="M166" s="13">
        <v>1</v>
      </c>
      <c r="N166">
        <v>0</v>
      </c>
      <c r="O166">
        <v>0</v>
      </c>
      <c r="P166">
        <v>0</v>
      </c>
      <c r="Q166" s="13">
        <v>1</v>
      </c>
    </row>
    <row r="167" spans="1:17" x14ac:dyDescent="0.3">
      <c r="A167" t="s">
        <v>467</v>
      </c>
      <c r="B167">
        <v>0</v>
      </c>
      <c r="C167">
        <v>0</v>
      </c>
      <c r="D167" s="13">
        <v>1</v>
      </c>
      <c r="E167">
        <v>0</v>
      </c>
      <c r="F167">
        <v>0</v>
      </c>
      <c r="G167">
        <v>0</v>
      </c>
      <c r="H167">
        <v>0</v>
      </c>
      <c r="I167" s="13">
        <v>1</v>
      </c>
      <c r="J167" s="13">
        <v>0</v>
      </c>
      <c r="K167" s="13">
        <v>0</v>
      </c>
      <c r="L167">
        <v>1</v>
      </c>
      <c r="M167" s="13">
        <v>0</v>
      </c>
      <c r="N167">
        <v>0</v>
      </c>
      <c r="O167">
        <v>0</v>
      </c>
      <c r="P167">
        <v>1</v>
      </c>
      <c r="Q167" s="13">
        <v>0</v>
      </c>
    </row>
    <row r="168" spans="1:17" x14ac:dyDescent="0.3">
      <c r="A168" t="s">
        <v>468</v>
      </c>
      <c r="B168">
        <v>0</v>
      </c>
      <c r="C168">
        <v>1</v>
      </c>
      <c r="D168" s="13">
        <v>0</v>
      </c>
      <c r="E168">
        <v>0</v>
      </c>
      <c r="F168">
        <v>0</v>
      </c>
      <c r="G168">
        <v>1</v>
      </c>
      <c r="H168">
        <v>1</v>
      </c>
      <c r="I168" s="13">
        <v>0</v>
      </c>
      <c r="J168" s="13">
        <v>0</v>
      </c>
      <c r="K168" s="13">
        <v>1</v>
      </c>
      <c r="L168">
        <v>0</v>
      </c>
      <c r="M168" s="13">
        <v>0</v>
      </c>
      <c r="N168">
        <v>0</v>
      </c>
      <c r="O168">
        <v>1</v>
      </c>
      <c r="P168">
        <v>0</v>
      </c>
      <c r="Q168" s="13">
        <v>0</v>
      </c>
    </row>
    <row r="169" spans="1:17" s="4" customFormat="1" x14ac:dyDescent="0.3">
      <c r="A169" s="4" t="s">
        <v>463</v>
      </c>
      <c r="B169" s="4">
        <v>1</v>
      </c>
      <c r="C169" s="4">
        <v>0</v>
      </c>
      <c r="D169" s="14">
        <v>0</v>
      </c>
      <c r="E169" s="4">
        <v>0</v>
      </c>
      <c r="F169" s="4">
        <v>0</v>
      </c>
      <c r="G169" s="4">
        <v>0</v>
      </c>
      <c r="H169" s="4">
        <v>0</v>
      </c>
      <c r="I169" s="14">
        <v>0</v>
      </c>
      <c r="J169" s="14">
        <v>1</v>
      </c>
      <c r="K169" s="14">
        <v>0</v>
      </c>
      <c r="L169" s="4">
        <v>0</v>
      </c>
      <c r="M169" s="14">
        <v>1</v>
      </c>
      <c r="N169" s="4">
        <v>0</v>
      </c>
      <c r="O169" s="4">
        <v>0</v>
      </c>
      <c r="P169" s="4">
        <v>0</v>
      </c>
      <c r="Q169" s="14">
        <v>0</v>
      </c>
    </row>
    <row r="170" spans="1:17" s="4" customFormat="1" x14ac:dyDescent="0.3">
      <c r="A170" s="4" t="s">
        <v>464</v>
      </c>
      <c r="B170" s="4">
        <v>0</v>
      </c>
      <c r="C170" s="4">
        <v>0</v>
      </c>
      <c r="D170" s="14">
        <v>0</v>
      </c>
      <c r="E170" s="4">
        <v>0</v>
      </c>
      <c r="F170" s="4">
        <v>0</v>
      </c>
      <c r="G170" s="4">
        <v>0</v>
      </c>
      <c r="H170" s="4">
        <v>1</v>
      </c>
      <c r="I170" s="14">
        <v>1</v>
      </c>
      <c r="J170" s="14">
        <v>0</v>
      </c>
      <c r="K170" s="14">
        <v>1</v>
      </c>
      <c r="L170" s="4">
        <v>1</v>
      </c>
      <c r="M170" s="14">
        <v>0</v>
      </c>
      <c r="N170" s="4">
        <v>0</v>
      </c>
      <c r="O170" s="4">
        <v>0</v>
      </c>
      <c r="P170" s="4">
        <v>0</v>
      </c>
      <c r="Q170" s="14">
        <v>0</v>
      </c>
    </row>
    <row r="171" spans="1:17" s="4" customFormat="1" x14ac:dyDescent="0.3">
      <c r="A171" s="4" t="s">
        <v>465</v>
      </c>
      <c r="B171" s="4">
        <v>0</v>
      </c>
      <c r="C171" s="4">
        <v>0</v>
      </c>
      <c r="D171" s="14">
        <v>0</v>
      </c>
      <c r="E171" s="4">
        <v>0</v>
      </c>
      <c r="F171" s="4">
        <v>0</v>
      </c>
      <c r="G171" s="4">
        <v>0</v>
      </c>
      <c r="H171" s="4">
        <v>0</v>
      </c>
      <c r="I171" s="14">
        <v>0</v>
      </c>
      <c r="J171" s="14">
        <v>0</v>
      </c>
      <c r="K171" s="14">
        <v>0</v>
      </c>
      <c r="L171" s="4">
        <v>0</v>
      </c>
      <c r="M171" s="14">
        <v>0</v>
      </c>
      <c r="N171" s="4">
        <v>1</v>
      </c>
      <c r="O171" s="4">
        <v>1</v>
      </c>
      <c r="P171" s="4">
        <v>1</v>
      </c>
      <c r="Q171" s="14">
        <v>1</v>
      </c>
    </row>
    <row r="172" spans="1:17" x14ac:dyDescent="0.3">
      <c r="A172" s="8" t="s">
        <v>499</v>
      </c>
      <c r="B172" s="8">
        <v>0</v>
      </c>
      <c r="C172" s="8">
        <v>0</v>
      </c>
      <c r="D172" s="13">
        <v>1</v>
      </c>
      <c r="E172" s="8">
        <v>0</v>
      </c>
      <c r="F172" s="8">
        <v>0</v>
      </c>
      <c r="G172" s="8">
        <v>0</v>
      </c>
      <c r="H172" s="8">
        <v>0</v>
      </c>
      <c r="I172" s="13">
        <v>1</v>
      </c>
      <c r="J172" s="13">
        <v>1</v>
      </c>
      <c r="K172" s="13">
        <v>1</v>
      </c>
      <c r="L172" s="8">
        <v>0</v>
      </c>
      <c r="M172" s="13">
        <v>1</v>
      </c>
      <c r="N172" s="8">
        <v>0</v>
      </c>
      <c r="O172" s="8">
        <v>0</v>
      </c>
      <c r="P172" s="8">
        <v>0</v>
      </c>
      <c r="Q172" s="13">
        <v>1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C6C52-2093-4928-94CF-C9F9B2BDA49D}">
  <dimension ref="A1:O241"/>
  <sheetViews>
    <sheetView topLeftCell="A220" zoomScaleNormal="100" workbookViewId="0">
      <selection activeCell="L231" sqref="L231"/>
    </sheetView>
  </sheetViews>
  <sheetFormatPr defaultRowHeight="14.4" x14ac:dyDescent="0.3"/>
  <cols>
    <col min="1" max="1" width="9.88671875" bestFit="1" customWidth="1"/>
    <col min="2" max="2" width="27.77734375" bestFit="1" customWidth="1"/>
    <col min="3" max="3" width="14.21875" bestFit="1" customWidth="1"/>
    <col min="4" max="4" width="15.109375" bestFit="1" customWidth="1"/>
    <col min="5" max="5" width="11.88671875" bestFit="1" customWidth="1"/>
    <col min="6" max="6" width="9.109375" customWidth="1"/>
    <col min="7" max="7" width="13.88671875" bestFit="1" customWidth="1"/>
    <col min="8" max="8" width="16.77734375" bestFit="1" customWidth="1"/>
    <col min="9" max="9" width="23.88671875" bestFit="1" customWidth="1"/>
    <col min="10" max="10" width="25.77734375" bestFit="1" customWidth="1"/>
    <col min="11" max="11" width="15.88671875" bestFit="1" customWidth="1"/>
  </cols>
  <sheetData>
    <row r="1" spans="1:15" x14ac:dyDescent="0.3">
      <c r="B1" s="17" t="s">
        <v>479</v>
      </c>
      <c r="C1" s="17"/>
      <c r="D1" t="s">
        <v>482</v>
      </c>
      <c r="E1" t="s">
        <v>483</v>
      </c>
      <c r="F1" t="s">
        <v>484</v>
      </c>
      <c r="G1" t="s">
        <v>485</v>
      </c>
      <c r="H1" t="s">
        <v>486</v>
      </c>
      <c r="I1" t="s">
        <v>487</v>
      </c>
      <c r="J1" t="s">
        <v>489</v>
      </c>
      <c r="K1" t="s">
        <v>500</v>
      </c>
      <c r="L1" t="s">
        <v>490</v>
      </c>
    </row>
    <row r="2" spans="1:15" x14ac:dyDescent="0.3">
      <c r="A2" t="s">
        <v>200</v>
      </c>
      <c r="B2" t="s">
        <v>113</v>
      </c>
      <c r="C2" t="s">
        <v>481</v>
      </c>
      <c r="D2">
        <v>2</v>
      </c>
      <c r="E2">
        <v>3</v>
      </c>
      <c r="F2">
        <f>D2/6</f>
        <v>0.33333333333333331</v>
      </c>
      <c r="G2">
        <f>E2/10</f>
        <v>0.3</v>
      </c>
      <c r="H2">
        <f>LN(F2/G2)</f>
        <v>0.10536051565782635</v>
      </c>
      <c r="I2">
        <f>F2-G2</f>
        <v>3.3333333333333326E-2</v>
      </c>
      <c r="J2">
        <f>H2*I2</f>
        <v>3.5120171885942111E-3</v>
      </c>
      <c r="K2">
        <f>J2+J3+J4</f>
        <v>0.13919961837542036</v>
      </c>
      <c r="L2" t="s">
        <v>501</v>
      </c>
    </row>
    <row r="3" spans="1:15" x14ac:dyDescent="0.3">
      <c r="C3" t="s">
        <v>480</v>
      </c>
      <c r="D3">
        <v>2</v>
      </c>
      <c r="E3">
        <v>2</v>
      </c>
      <c r="F3">
        <f t="shared" ref="F3:F4" si="0">D3/6</f>
        <v>0.33333333333333331</v>
      </c>
      <c r="G3">
        <f t="shared" ref="G3:G241" si="1">E3/10</f>
        <v>0.2</v>
      </c>
      <c r="H3">
        <f t="shared" ref="H3:H241" si="2">LN(F3/G3)</f>
        <v>0.51082562376599061</v>
      </c>
      <c r="I3">
        <f t="shared" ref="I3:I241" si="3">F3-G3</f>
        <v>0.1333333333333333</v>
      </c>
      <c r="J3">
        <f t="shared" ref="J3:J241" si="4">H3*I3</f>
        <v>6.8110083168798727E-2</v>
      </c>
    </row>
    <row r="4" spans="1:15" x14ac:dyDescent="0.3">
      <c r="B4" t="s">
        <v>278</v>
      </c>
      <c r="C4" t="s">
        <v>488</v>
      </c>
      <c r="D4">
        <v>2</v>
      </c>
      <c r="E4">
        <v>5</v>
      </c>
      <c r="F4">
        <f t="shared" si="0"/>
        <v>0.33333333333333331</v>
      </c>
      <c r="G4">
        <f t="shared" si="1"/>
        <v>0.5</v>
      </c>
      <c r="H4">
        <f t="shared" si="2"/>
        <v>-0.40546510810816444</v>
      </c>
      <c r="I4">
        <f t="shared" si="3"/>
        <v>-0.16666666666666669</v>
      </c>
      <c r="J4">
        <f t="shared" si="4"/>
        <v>6.7577518018027416E-2</v>
      </c>
      <c r="O4" t="s">
        <v>481</v>
      </c>
    </row>
    <row r="5" spans="1:15" x14ac:dyDescent="0.3">
      <c r="A5" t="s">
        <v>201</v>
      </c>
      <c r="B5" t="s">
        <v>114</v>
      </c>
      <c r="C5" t="s">
        <v>481</v>
      </c>
      <c r="D5">
        <v>3</v>
      </c>
      <c r="E5">
        <v>2</v>
      </c>
      <c r="F5">
        <f>D5/6</f>
        <v>0.5</v>
      </c>
      <c r="G5">
        <f t="shared" si="1"/>
        <v>0.2</v>
      </c>
      <c r="H5">
        <f t="shared" si="2"/>
        <v>0.91629073187415511</v>
      </c>
      <c r="I5">
        <f t="shared" si="3"/>
        <v>0.3</v>
      </c>
      <c r="J5">
        <f t="shared" si="4"/>
        <v>0.27488721956224654</v>
      </c>
      <c r="K5">
        <f>J5+J6+J7</f>
        <v>1.3211926207259368</v>
      </c>
      <c r="O5" t="s">
        <v>480</v>
      </c>
    </row>
    <row r="6" spans="1:15" x14ac:dyDescent="0.3">
      <c r="C6" t="s">
        <v>493</v>
      </c>
      <c r="D6">
        <v>1</v>
      </c>
      <c r="E6">
        <v>7</v>
      </c>
      <c r="F6">
        <f t="shared" ref="F6:F241" si="5">D6/6</f>
        <v>0.16666666666666666</v>
      </c>
      <c r="G6">
        <f t="shared" si="1"/>
        <v>0.7</v>
      </c>
      <c r="H6">
        <f t="shared" si="2"/>
        <v>-1.4350845252893225</v>
      </c>
      <c r="I6">
        <f t="shared" si="3"/>
        <v>-0.53333333333333333</v>
      </c>
      <c r="J6">
        <f t="shared" si="4"/>
        <v>0.76537841348763869</v>
      </c>
      <c r="O6" t="s">
        <v>491</v>
      </c>
    </row>
    <row r="7" spans="1:15" x14ac:dyDescent="0.3">
      <c r="C7" t="s">
        <v>492</v>
      </c>
      <c r="D7">
        <v>2</v>
      </c>
      <c r="E7">
        <v>1</v>
      </c>
      <c r="F7">
        <f t="shared" si="5"/>
        <v>0.33333333333333331</v>
      </c>
      <c r="G7">
        <f t="shared" si="1"/>
        <v>0.1</v>
      </c>
      <c r="H7">
        <f t="shared" si="2"/>
        <v>1.2039728043259359</v>
      </c>
      <c r="I7">
        <f t="shared" si="3"/>
        <v>0.23333333333333331</v>
      </c>
      <c r="J7">
        <f t="shared" si="4"/>
        <v>0.28092698767605168</v>
      </c>
      <c r="O7" t="s">
        <v>492</v>
      </c>
    </row>
    <row r="8" spans="1:15" x14ac:dyDescent="0.3">
      <c r="A8" t="s">
        <v>202</v>
      </c>
      <c r="B8" t="s">
        <v>115</v>
      </c>
      <c r="C8" t="s">
        <v>481</v>
      </c>
      <c r="D8">
        <v>2</v>
      </c>
      <c r="E8">
        <v>2</v>
      </c>
      <c r="F8">
        <f t="shared" si="5"/>
        <v>0.33333333333333331</v>
      </c>
      <c r="G8">
        <f t="shared" si="1"/>
        <v>0.2</v>
      </c>
      <c r="H8">
        <f t="shared" si="2"/>
        <v>0.51082562376599061</v>
      </c>
      <c r="I8">
        <f t="shared" si="3"/>
        <v>0.1333333333333333</v>
      </c>
      <c r="J8">
        <f t="shared" si="4"/>
        <v>6.8110083168798727E-2</v>
      </c>
      <c r="K8">
        <f>J8+J9+J10+J11</f>
        <v>0.15607104090414062</v>
      </c>
      <c r="L8" t="s">
        <v>501</v>
      </c>
    </row>
    <row r="9" spans="1:15" x14ac:dyDescent="0.3">
      <c r="C9" t="s">
        <v>480</v>
      </c>
      <c r="D9">
        <v>1</v>
      </c>
      <c r="E9">
        <v>2</v>
      </c>
      <c r="F9">
        <f t="shared" si="5"/>
        <v>0.16666666666666666</v>
      </c>
      <c r="G9">
        <f t="shared" si="1"/>
        <v>0.2</v>
      </c>
      <c r="H9">
        <f t="shared" si="2"/>
        <v>-0.1823215567939547</v>
      </c>
      <c r="I9">
        <f t="shared" si="3"/>
        <v>-3.3333333333333354E-2</v>
      </c>
      <c r="J9">
        <f t="shared" si="4"/>
        <v>6.0773852264651602E-3</v>
      </c>
    </row>
    <row r="10" spans="1:15" x14ac:dyDescent="0.3">
      <c r="C10" t="s">
        <v>491</v>
      </c>
      <c r="D10">
        <v>1</v>
      </c>
      <c r="E10">
        <v>3</v>
      </c>
      <c r="F10">
        <f t="shared" si="5"/>
        <v>0.16666666666666666</v>
      </c>
      <c r="G10">
        <f t="shared" si="1"/>
        <v>0.3</v>
      </c>
      <c r="H10">
        <f t="shared" si="2"/>
        <v>-0.58778666490211895</v>
      </c>
      <c r="I10">
        <f t="shared" si="3"/>
        <v>-0.13333333333333333</v>
      </c>
      <c r="J10">
        <f t="shared" si="4"/>
        <v>7.8371555320282532E-2</v>
      </c>
    </row>
    <row r="11" spans="1:15" x14ac:dyDescent="0.3">
      <c r="C11" t="s">
        <v>492</v>
      </c>
      <c r="D11">
        <v>2</v>
      </c>
      <c r="E11">
        <v>3</v>
      </c>
      <c r="F11">
        <f t="shared" si="5"/>
        <v>0.33333333333333331</v>
      </c>
      <c r="G11">
        <f t="shared" si="1"/>
        <v>0.3</v>
      </c>
      <c r="H11">
        <f t="shared" si="2"/>
        <v>0.10536051565782635</v>
      </c>
      <c r="I11">
        <f t="shared" si="3"/>
        <v>3.3333333333333326E-2</v>
      </c>
      <c r="J11">
        <f t="shared" si="4"/>
        <v>3.5120171885942111E-3</v>
      </c>
    </row>
    <row r="12" spans="1:15" x14ac:dyDescent="0.3">
      <c r="A12" t="s">
        <v>203</v>
      </c>
      <c r="B12" t="s">
        <v>116</v>
      </c>
      <c r="C12" t="s">
        <v>481</v>
      </c>
      <c r="D12">
        <v>2</v>
      </c>
      <c r="E12">
        <v>2</v>
      </c>
      <c r="F12">
        <f t="shared" si="5"/>
        <v>0.33333333333333331</v>
      </c>
      <c r="G12">
        <f t="shared" si="1"/>
        <v>0.2</v>
      </c>
      <c r="H12">
        <f t="shared" si="2"/>
        <v>0.51082562376599061</v>
      </c>
      <c r="I12">
        <f t="shared" si="3"/>
        <v>0.1333333333333333</v>
      </c>
      <c r="J12">
        <f t="shared" si="4"/>
        <v>6.8110083168798727E-2</v>
      </c>
      <c r="K12">
        <f>J12+J13+J14</f>
        <v>0.62108076391228872</v>
      </c>
    </row>
    <row r="13" spans="1:15" x14ac:dyDescent="0.3">
      <c r="C13" t="s">
        <v>480</v>
      </c>
      <c r="D13">
        <v>2</v>
      </c>
      <c r="E13">
        <v>1</v>
      </c>
      <c r="F13">
        <f t="shared" si="5"/>
        <v>0.33333333333333331</v>
      </c>
      <c r="G13">
        <f t="shared" si="1"/>
        <v>0.1</v>
      </c>
      <c r="H13">
        <f t="shared" si="2"/>
        <v>1.2039728043259359</v>
      </c>
      <c r="I13">
        <f t="shared" si="3"/>
        <v>0.23333333333333331</v>
      </c>
      <c r="J13">
        <f t="shared" si="4"/>
        <v>0.28092698767605168</v>
      </c>
    </row>
    <row r="14" spans="1:15" x14ac:dyDescent="0.3">
      <c r="B14" s="6" t="s">
        <v>287</v>
      </c>
      <c r="C14" t="s">
        <v>488</v>
      </c>
      <c r="D14">
        <v>2</v>
      </c>
      <c r="E14">
        <v>7</v>
      </c>
      <c r="F14">
        <f t="shared" si="5"/>
        <v>0.33333333333333331</v>
      </c>
      <c r="G14">
        <f t="shared" si="1"/>
        <v>0.7</v>
      </c>
      <c r="H14">
        <f t="shared" si="2"/>
        <v>-0.74193734472937722</v>
      </c>
      <c r="I14">
        <f t="shared" si="3"/>
        <v>-0.36666666666666664</v>
      </c>
      <c r="J14">
        <f t="shared" si="4"/>
        <v>0.27204369306743831</v>
      </c>
    </row>
    <row r="15" spans="1:15" x14ac:dyDescent="0.3">
      <c r="A15" t="s">
        <v>204</v>
      </c>
      <c r="B15" t="s">
        <v>117</v>
      </c>
      <c r="C15" t="s">
        <v>481</v>
      </c>
      <c r="D15">
        <v>1</v>
      </c>
      <c r="E15">
        <v>4</v>
      </c>
      <c r="F15">
        <f t="shared" si="5"/>
        <v>0.16666666666666666</v>
      </c>
      <c r="G15">
        <f t="shared" si="1"/>
        <v>0.4</v>
      </c>
      <c r="H15">
        <f t="shared" si="2"/>
        <v>-0.87546873735390007</v>
      </c>
      <c r="I15">
        <f t="shared" si="3"/>
        <v>-0.23333333333333336</v>
      </c>
      <c r="J15">
        <f t="shared" si="4"/>
        <v>0.20427603871591005</v>
      </c>
      <c r="K15">
        <f>J15+J16+J17+J18</f>
        <v>0.63168466488104291</v>
      </c>
    </row>
    <row r="16" spans="1:15" x14ac:dyDescent="0.3">
      <c r="C16" t="s">
        <v>480</v>
      </c>
      <c r="D16">
        <v>2</v>
      </c>
      <c r="E16">
        <v>1</v>
      </c>
      <c r="F16">
        <f t="shared" si="5"/>
        <v>0.33333333333333331</v>
      </c>
      <c r="G16">
        <f t="shared" si="1"/>
        <v>0.1</v>
      </c>
      <c r="H16">
        <f t="shared" si="2"/>
        <v>1.2039728043259359</v>
      </c>
      <c r="I16">
        <f t="shared" si="3"/>
        <v>0.23333333333333331</v>
      </c>
      <c r="J16">
        <f t="shared" si="4"/>
        <v>0.28092698767605168</v>
      </c>
    </row>
    <row r="17" spans="1:12" x14ac:dyDescent="0.3">
      <c r="C17" t="s">
        <v>491</v>
      </c>
      <c r="D17">
        <v>2</v>
      </c>
      <c r="E17">
        <v>2</v>
      </c>
      <c r="F17">
        <f t="shared" si="5"/>
        <v>0.33333333333333331</v>
      </c>
      <c r="G17">
        <f t="shared" si="1"/>
        <v>0.2</v>
      </c>
      <c r="H17">
        <f t="shared" si="2"/>
        <v>0.51082562376599061</v>
      </c>
      <c r="I17">
        <f t="shared" si="3"/>
        <v>0.1333333333333333</v>
      </c>
      <c r="J17">
        <f t="shared" si="4"/>
        <v>6.8110083168798727E-2</v>
      </c>
    </row>
    <row r="18" spans="1:12" x14ac:dyDescent="0.3">
      <c r="C18" t="s">
        <v>492</v>
      </c>
      <c r="D18">
        <v>1</v>
      </c>
      <c r="E18">
        <v>3</v>
      </c>
      <c r="F18">
        <f t="shared" si="5"/>
        <v>0.16666666666666666</v>
      </c>
      <c r="G18">
        <f t="shared" si="1"/>
        <v>0.3</v>
      </c>
      <c r="H18">
        <f t="shared" si="2"/>
        <v>-0.58778666490211895</v>
      </c>
      <c r="I18">
        <f t="shared" si="3"/>
        <v>-0.13333333333333333</v>
      </c>
      <c r="J18">
        <f t="shared" si="4"/>
        <v>7.8371555320282532E-2</v>
      </c>
    </row>
    <row r="19" spans="1:12" x14ac:dyDescent="0.3">
      <c r="A19" t="s">
        <v>205</v>
      </c>
      <c r="B19" t="s">
        <v>118</v>
      </c>
      <c r="C19" t="s">
        <v>481</v>
      </c>
      <c r="D19">
        <v>3</v>
      </c>
      <c r="E19">
        <v>2</v>
      </c>
      <c r="F19">
        <f t="shared" si="5"/>
        <v>0.5</v>
      </c>
      <c r="G19">
        <f t="shared" si="1"/>
        <v>0.2</v>
      </c>
      <c r="H19">
        <f t="shared" si="2"/>
        <v>0.91629073187415511</v>
      </c>
      <c r="I19">
        <f t="shared" si="3"/>
        <v>0.3</v>
      </c>
      <c r="J19">
        <f t="shared" si="4"/>
        <v>0.27488721956224654</v>
      </c>
      <c r="K19">
        <f>J19+J20+J21+J22</f>
        <v>0.43770771542927678</v>
      </c>
    </row>
    <row r="20" spans="1:12" x14ac:dyDescent="0.3">
      <c r="C20" t="s">
        <v>480</v>
      </c>
      <c r="D20">
        <v>1</v>
      </c>
      <c r="E20">
        <v>2</v>
      </c>
      <c r="F20">
        <f t="shared" si="5"/>
        <v>0.16666666666666666</v>
      </c>
      <c r="G20">
        <f t="shared" si="1"/>
        <v>0.2</v>
      </c>
      <c r="H20">
        <f t="shared" si="2"/>
        <v>-0.1823215567939547</v>
      </c>
      <c r="I20">
        <f t="shared" si="3"/>
        <v>-3.3333333333333354E-2</v>
      </c>
      <c r="J20">
        <f t="shared" si="4"/>
        <v>6.0773852264651602E-3</v>
      </c>
    </row>
    <row r="21" spans="1:12" x14ac:dyDescent="0.3">
      <c r="C21" t="s">
        <v>491</v>
      </c>
      <c r="D21">
        <v>1</v>
      </c>
      <c r="E21">
        <v>3</v>
      </c>
      <c r="F21">
        <f t="shared" si="5"/>
        <v>0.16666666666666666</v>
      </c>
      <c r="G21">
        <f t="shared" si="1"/>
        <v>0.3</v>
      </c>
      <c r="H21">
        <f t="shared" si="2"/>
        <v>-0.58778666490211895</v>
      </c>
      <c r="I21">
        <f t="shared" si="3"/>
        <v>-0.13333333333333333</v>
      </c>
      <c r="J21">
        <f t="shared" si="4"/>
        <v>7.8371555320282532E-2</v>
      </c>
    </row>
    <row r="22" spans="1:12" x14ac:dyDescent="0.3">
      <c r="C22" t="s">
        <v>492</v>
      </c>
      <c r="D22">
        <v>1</v>
      </c>
      <c r="E22">
        <v>3</v>
      </c>
      <c r="F22">
        <f t="shared" si="5"/>
        <v>0.16666666666666666</v>
      </c>
      <c r="G22">
        <f t="shared" si="1"/>
        <v>0.3</v>
      </c>
      <c r="H22">
        <f t="shared" si="2"/>
        <v>-0.58778666490211895</v>
      </c>
      <c r="I22">
        <f t="shared" si="3"/>
        <v>-0.13333333333333333</v>
      </c>
      <c r="J22">
        <f t="shared" si="4"/>
        <v>7.8371555320282532E-2</v>
      </c>
    </row>
    <row r="23" spans="1:12" x14ac:dyDescent="0.3">
      <c r="A23" t="s">
        <v>206</v>
      </c>
      <c r="B23" t="s">
        <v>119</v>
      </c>
      <c r="C23" t="s">
        <v>481</v>
      </c>
      <c r="D23">
        <v>3</v>
      </c>
      <c r="E23">
        <v>1</v>
      </c>
      <c r="F23">
        <f t="shared" si="5"/>
        <v>0.5</v>
      </c>
      <c r="G23">
        <f t="shared" si="1"/>
        <v>0.1</v>
      </c>
      <c r="H23">
        <f t="shared" si="2"/>
        <v>1.6094379124341003</v>
      </c>
      <c r="I23">
        <f t="shared" si="3"/>
        <v>0.4</v>
      </c>
      <c r="J23">
        <f t="shared" si="4"/>
        <v>0.64377516497364018</v>
      </c>
      <c r="K23">
        <f>J23+J24+J25</f>
        <v>0.9156287217075777</v>
      </c>
    </row>
    <row r="24" spans="1:12" x14ac:dyDescent="0.3">
      <c r="B24" t="s">
        <v>295</v>
      </c>
      <c r="C24" t="s">
        <v>493</v>
      </c>
      <c r="D24">
        <v>2</v>
      </c>
      <c r="E24">
        <v>5</v>
      </c>
      <c r="F24">
        <f t="shared" si="5"/>
        <v>0.33333333333333331</v>
      </c>
      <c r="G24">
        <f t="shared" si="1"/>
        <v>0.5</v>
      </c>
      <c r="H24">
        <f t="shared" si="2"/>
        <v>-0.40546510810816444</v>
      </c>
      <c r="I24">
        <f t="shared" si="3"/>
        <v>-0.16666666666666669</v>
      </c>
      <c r="J24">
        <f t="shared" si="4"/>
        <v>6.7577518018027416E-2</v>
      </c>
    </row>
    <row r="25" spans="1:12" x14ac:dyDescent="0.3">
      <c r="C25" t="s">
        <v>492</v>
      </c>
      <c r="D25">
        <v>1</v>
      </c>
      <c r="E25">
        <v>4</v>
      </c>
      <c r="F25">
        <f t="shared" si="5"/>
        <v>0.16666666666666666</v>
      </c>
      <c r="G25">
        <f t="shared" si="1"/>
        <v>0.4</v>
      </c>
      <c r="H25">
        <f t="shared" si="2"/>
        <v>-0.87546873735390007</v>
      </c>
      <c r="I25">
        <f t="shared" si="3"/>
        <v>-0.23333333333333336</v>
      </c>
      <c r="J25">
        <f t="shared" si="4"/>
        <v>0.20427603871591005</v>
      </c>
    </row>
    <row r="26" spans="1:12" x14ac:dyDescent="0.3">
      <c r="A26" t="s">
        <v>207</v>
      </c>
      <c r="B26" t="s">
        <v>120</v>
      </c>
      <c r="C26" t="s">
        <v>481</v>
      </c>
      <c r="D26">
        <v>1</v>
      </c>
      <c r="E26">
        <v>4</v>
      </c>
      <c r="F26">
        <f t="shared" si="5"/>
        <v>0.16666666666666666</v>
      </c>
      <c r="G26">
        <f t="shared" si="1"/>
        <v>0.4</v>
      </c>
      <c r="H26">
        <f t="shared" si="2"/>
        <v>-0.87546873735390007</v>
      </c>
      <c r="I26">
        <f t="shared" si="3"/>
        <v>-0.23333333333333336</v>
      </c>
      <c r="J26">
        <f t="shared" si="4"/>
        <v>0.20427603871591005</v>
      </c>
      <c r="K26">
        <f>J26+J27+J28+J29</f>
        <v>0.63168466488104291</v>
      </c>
    </row>
    <row r="27" spans="1:12" x14ac:dyDescent="0.3">
      <c r="C27" t="s">
        <v>480</v>
      </c>
      <c r="D27">
        <v>2</v>
      </c>
      <c r="E27">
        <v>1</v>
      </c>
      <c r="F27">
        <f t="shared" si="5"/>
        <v>0.33333333333333331</v>
      </c>
      <c r="G27">
        <f t="shared" si="1"/>
        <v>0.1</v>
      </c>
      <c r="H27">
        <f t="shared" si="2"/>
        <v>1.2039728043259359</v>
      </c>
      <c r="I27">
        <f t="shared" si="3"/>
        <v>0.23333333333333331</v>
      </c>
      <c r="J27">
        <f t="shared" si="4"/>
        <v>0.28092698767605168</v>
      </c>
    </row>
    <row r="28" spans="1:12" x14ac:dyDescent="0.3">
      <c r="C28" t="s">
        <v>491</v>
      </c>
      <c r="D28">
        <v>2</v>
      </c>
      <c r="E28">
        <v>2</v>
      </c>
      <c r="F28">
        <f t="shared" si="5"/>
        <v>0.33333333333333331</v>
      </c>
      <c r="G28">
        <f t="shared" si="1"/>
        <v>0.2</v>
      </c>
      <c r="H28">
        <f t="shared" si="2"/>
        <v>0.51082562376599061</v>
      </c>
      <c r="I28">
        <f t="shared" si="3"/>
        <v>0.1333333333333333</v>
      </c>
      <c r="J28">
        <f t="shared" si="4"/>
        <v>6.8110083168798727E-2</v>
      </c>
    </row>
    <row r="29" spans="1:12" x14ac:dyDescent="0.3">
      <c r="C29" t="s">
        <v>492</v>
      </c>
      <c r="D29">
        <v>1</v>
      </c>
      <c r="E29">
        <v>3</v>
      </c>
      <c r="F29">
        <f t="shared" si="5"/>
        <v>0.16666666666666666</v>
      </c>
      <c r="G29">
        <f t="shared" si="1"/>
        <v>0.3</v>
      </c>
      <c r="H29">
        <f t="shared" si="2"/>
        <v>-0.58778666490211895</v>
      </c>
      <c r="I29">
        <f t="shared" si="3"/>
        <v>-0.13333333333333333</v>
      </c>
      <c r="J29">
        <f t="shared" si="4"/>
        <v>7.8371555320282532E-2</v>
      </c>
    </row>
    <row r="30" spans="1:12" x14ac:dyDescent="0.3">
      <c r="A30" t="s">
        <v>208</v>
      </c>
      <c r="B30" t="s">
        <v>121</v>
      </c>
      <c r="C30" t="s">
        <v>481</v>
      </c>
      <c r="D30">
        <v>2</v>
      </c>
      <c r="E30">
        <v>2</v>
      </c>
      <c r="F30">
        <f t="shared" si="5"/>
        <v>0.33333333333333331</v>
      </c>
      <c r="G30">
        <f t="shared" si="1"/>
        <v>0.2</v>
      </c>
      <c r="H30">
        <f t="shared" si="2"/>
        <v>0.51082562376599061</v>
      </c>
      <c r="I30">
        <f t="shared" si="3"/>
        <v>0.1333333333333333</v>
      </c>
      <c r="J30">
        <f t="shared" si="4"/>
        <v>6.8110083168798727E-2</v>
      </c>
      <c r="K30">
        <f>J30+J31+J32+J33</f>
        <v>0.15607104090414062</v>
      </c>
      <c r="L30" t="s">
        <v>501</v>
      </c>
    </row>
    <row r="31" spans="1:12" x14ac:dyDescent="0.3">
      <c r="C31" t="s">
        <v>480</v>
      </c>
      <c r="D31">
        <v>1</v>
      </c>
      <c r="E31">
        <v>2</v>
      </c>
      <c r="F31">
        <f t="shared" si="5"/>
        <v>0.16666666666666666</v>
      </c>
      <c r="G31">
        <f t="shared" si="1"/>
        <v>0.2</v>
      </c>
      <c r="H31">
        <f t="shared" si="2"/>
        <v>-0.1823215567939547</v>
      </c>
      <c r="I31">
        <f t="shared" si="3"/>
        <v>-3.3333333333333354E-2</v>
      </c>
      <c r="J31">
        <f t="shared" si="4"/>
        <v>6.0773852264651602E-3</v>
      </c>
    </row>
    <row r="32" spans="1:12" x14ac:dyDescent="0.3">
      <c r="C32" t="s">
        <v>491</v>
      </c>
      <c r="D32">
        <v>1</v>
      </c>
      <c r="E32">
        <v>3</v>
      </c>
      <c r="F32">
        <f t="shared" si="5"/>
        <v>0.16666666666666666</v>
      </c>
      <c r="G32">
        <f t="shared" si="1"/>
        <v>0.3</v>
      </c>
      <c r="H32">
        <f t="shared" si="2"/>
        <v>-0.58778666490211895</v>
      </c>
      <c r="I32">
        <f t="shared" si="3"/>
        <v>-0.13333333333333333</v>
      </c>
      <c r="J32">
        <f t="shared" si="4"/>
        <v>7.8371555320282532E-2</v>
      </c>
    </row>
    <row r="33" spans="1:12" x14ac:dyDescent="0.3">
      <c r="C33" t="s">
        <v>492</v>
      </c>
      <c r="D33">
        <v>2</v>
      </c>
      <c r="E33">
        <v>3</v>
      </c>
      <c r="F33">
        <f t="shared" si="5"/>
        <v>0.33333333333333331</v>
      </c>
      <c r="G33">
        <f t="shared" si="1"/>
        <v>0.3</v>
      </c>
      <c r="H33">
        <f t="shared" si="2"/>
        <v>0.10536051565782635</v>
      </c>
      <c r="I33">
        <f t="shared" si="3"/>
        <v>3.3333333333333326E-2</v>
      </c>
      <c r="J33">
        <f t="shared" si="4"/>
        <v>3.5120171885942111E-3</v>
      </c>
    </row>
    <row r="34" spans="1:12" x14ac:dyDescent="0.3">
      <c r="A34" t="s">
        <v>209</v>
      </c>
      <c r="B34" t="s">
        <v>122</v>
      </c>
      <c r="C34" t="s">
        <v>481</v>
      </c>
      <c r="D34">
        <v>3</v>
      </c>
      <c r="E34">
        <v>3</v>
      </c>
      <c r="F34">
        <f t="shared" si="5"/>
        <v>0.5</v>
      </c>
      <c r="G34">
        <f t="shared" si="1"/>
        <v>0.3</v>
      </c>
      <c r="H34">
        <f t="shared" si="2"/>
        <v>0.51082562376599072</v>
      </c>
      <c r="I34">
        <f t="shared" si="3"/>
        <v>0.2</v>
      </c>
      <c r="J34">
        <f t="shared" si="4"/>
        <v>0.10216512475319815</v>
      </c>
      <c r="K34">
        <f>J34+J35+J36</f>
        <v>0.17582002799769073</v>
      </c>
      <c r="L34" t="s">
        <v>501</v>
      </c>
    </row>
    <row r="35" spans="1:12" x14ac:dyDescent="0.3">
      <c r="C35" t="s">
        <v>480</v>
      </c>
      <c r="D35">
        <v>1</v>
      </c>
      <c r="E35">
        <v>2</v>
      </c>
      <c r="F35">
        <f t="shared" si="5"/>
        <v>0.16666666666666666</v>
      </c>
      <c r="G35">
        <f t="shared" si="1"/>
        <v>0.2</v>
      </c>
      <c r="H35">
        <f t="shared" si="2"/>
        <v>-0.1823215567939547</v>
      </c>
      <c r="I35">
        <f t="shared" si="3"/>
        <v>-3.3333333333333354E-2</v>
      </c>
      <c r="J35">
        <f t="shared" si="4"/>
        <v>6.0773852264651602E-3</v>
      </c>
    </row>
    <row r="36" spans="1:12" x14ac:dyDescent="0.3">
      <c r="B36" s="4" t="s">
        <v>305</v>
      </c>
      <c r="C36" t="s">
        <v>488</v>
      </c>
      <c r="D36">
        <v>2</v>
      </c>
      <c r="E36">
        <v>5</v>
      </c>
      <c r="F36">
        <f t="shared" si="5"/>
        <v>0.33333333333333331</v>
      </c>
      <c r="G36">
        <f t="shared" si="1"/>
        <v>0.5</v>
      </c>
      <c r="H36">
        <f t="shared" si="2"/>
        <v>-0.40546510810816444</v>
      </c>
      <c r="I36">
        <f t="shared" si="3"/>
        <v>-0.16666666666666669</v>
      </c>
      <c r="J36">
        <f t="shared" si="4"/>
        <v>6.7577518018027416E-2</v>
      </c>
    </row>
    <row r="37" spans="1:12" x14ac:dyDescent="0.3">
      <c r="A37" t="s">
        <v>210</v>
      </c>
      <c r="B37" t="s">
        <v>123</v>
      </c>
      <c r="C37" t="s">
        <v>481</v>
      </c>
      <c r="D37">
        <v>1</v>
      </c>
      <c r="E37">
        <v>4</v>
      </c>
      <c r="F37">
        <f t="shared" si="5"/>
        <v>0.16666666666666666</v>
      </c>
      <c r="G37">
        <f t="shared" si="1"/>
        <v>0.4</v>
      </c>
      <c r="H37">
        <f t="shared" si="2"/>
        <v>-0.87546873735390007</v>
      </c>
      <c r="I37">
        <f t="shared" si="3"/>
        <v>-0.23333333333333336</v>
      </c>
      <c r="J37">
        <f t="shared" si="4"/>
        <v>0.20427603871591005</v>
      </c>
      <c r="K37">
        <f>J37+J38+J39+J40</f>
        <v>0.3465735902799727</v>
      </c>
    </row>
    <row r="38" spans="1:12" x14ac:dyDescent="0.3">
      <c r="C38" t="s">
        <v>480</v>
      </c>
      <c r="D38">
        <v>2</v>
      </c>
      <c r="E38">
        <v>2</v>
      </c>
      <c r="F38">
        <f t="shared" si="5"/>
        <v>0.33333333333333331</v>
      </c>
      <c r="G38">
        <f t="shared" si="1"/>
        <v>0.2</v>
      </c>
      <c r="H38">
        <f t="shared" si="2"/>
        <v>0.51082562376599061</v>
      </c>
      <c r="I38">
        <f t="shared" si="3"/>
        <v>0.1333333333333333</v>
      </c>
      <c r="J38">
        <f t="shared" si="4"/>
        <v>6.8110083168798727E-2</v>
      </c>
    </row>
    <row r="39" spans="1:12" x14ac:dyDescent="0.3">
      <c r="C39" t="s">
        <v>491</v>
      </c>
      <c r="D39">
        <v>2</v>
      </c>
      <c r="E39">
        <v>2</v>
      </c>
      <c r="F39">
        <f t="shared" si="5"/>
        <v>0.33333333333333331</v>
      </c>
      <c r="G39">
        <f t="shared" si="1"/>
        <v>0.2</v>
      </c>
      <c r="H39">
        <f t="shared" si="2"/>
        <v>0.51082562376599061</v>
      </c>
      <c r="I39">
        <f t="shared" si="3"/>
        <v>0.1333333333333333</v>
      </c>
      <c r="J39">
        <f t="shared" si="4"/>
        <v>6.8110083168798727E-2</v>
      </c>
    </row>
    <row r="40" spans="1:12" x14ac:dyDescent="0.3">
      <c r="C40" t="s">
        <v>492</v>
      </c>
      <c r="D40">
        <v>1</v>
      </c>
      <c r="E40">
        <v>2</v>
      </c>
      <c r="F40">
        <f t="shared" si="5"/>
        <v>0.16666666666666666</v>
      </c>
      <c r="G40">
        <f t="shared" si="1"/>
        <v>0.2</v>
      </c>
      <c r="H40">
        <f t="shared" si="2"/>
        <v>-0.1823215567939547</v>
      </c>
      <c r="I40">
        <f t="shared" si="3"/>
        <v>-3.3333333333333354E-2</v>
      </c>
      <c r="J40">
        <f t="shared" si="4"/>
        <v>6.0773852264651602E-3</v>
      </c>
    </row>
    <row r="41" spans="1:12" x14ac:dyDescent="0.3">
      <c r="A41" t="s">
        <v>211</v>
      </c>
      <c r="B41" t="s">
        <v>124</v>
      </c>
      <c r="C41" t="s">
        <v>494</v>
      </c>
      <c r="D41">
        <v>2</v>
      </c>
      <c r="E41">
        <v>5</v>
      </c>
      <c r="F41">
        <f t="shared" si="5"/>
        <v>0.33333333333333331</v>
      </c>
      <c r="G41">
        <f t="shared" si="1"/>
        <v>0.5</v>
      </c>
      <c r="H41">
        <f t="shared" si="2"/>
        <v>-0.40546510810816444</v>
      </c>
      <c r="I41">
        <f t="shared" si="3"/>
        <v>-0.16666666666666669</v>
      </c>
      <c r="J41">
        <f t="shared" si="4"/>
        <v>6.7577518018027416E-2</v>
      </c>
      <c r="K41">
        <f>J41+J42+J43</f>
        <v>0.13919961837542036</v>
      </c>
      <c r="L41" t="s">
        <v>501</v>
      </c>
    </row>
    <row r="42" spans="1:12" x14ac:dyDescent="0.3">
      <c r="C42" t="s">
        <v>491</v>
      </c>
      <c r="D42">
        <v>2</v>
      </c>
      <c r="E42">
        <v>2</v>
      </c>
      <c r="F42">
        <f t="shared" si="5"/>
        <v>0.33333333333333331</v>
      </c>
      <c r="G42">
        <f t="shared" si="1"/>
        <v>0.2</v>
      </c>
      <c r="H42">
        <f t="shared" si="2"/>
        <v>0.51082562376599061</v>
      </c>
      <c r="I42">
        <f t="shared" si="3"/>
        <v>0.1333333333333333</v>
      </c>
      <c r="J42">
        <f t="shared" si="4"/>
        <v>6.8110083168798727E-2</v>
      </c>
    </row>
    <row r="43" spans="1:12" x14ac:dyDescent="0.3">
      <c r="C43" t="s">
        <v>492</v>
      </c>
      <c r="D43">
        <v>2</v>
      </c>
      <c r="E43">
        <v>3</v>
      </c>
      <c r="F43">
        <f t="shared" si="5"/>
        <v>0.33333333333333331</v>
      </c>
      <c r="G43">
        <f t="shared" si="1"/>
        <v>0.3</v>
      </c>
      <c r="H43">
        <f t="shared" si="2"/>
        <v>0.10536051565782635</v>
      </c>
      <c r="I43">
        <f t="shared" si="3"/>
        <v>3.3333333333333326E-2</v>
      </c>
      <c r="J43">
        <f t="shared" si="4"/>
        <v>3.5120171885942111E-3</v>
      </c>
    </row>
    <row r="44" spans="1:12" x14ac:dyDescent="0.3">
      <c r="A44" t="s">
        <v>212</v>
      </c>
      <c r="B44" t="s">
        <v>125</v>
      </c>
      <c r="C44" t="s">
        <v>481</v>
      </c>
      <c r="D44">
        <v>1</v>
      </c>
      <c r="E44">
        <v>3</v>
      </c>
      <c r="F44">
        <f t="shared" si="5"/>
        <v>0.16666666666666666</v>
      </c>
      <c r="G44">
        <f t="shared" si="1"/>
        <v>0.3</v>
      </c>
      <c r="H44">
        <f t="shared" si="2"/>
        <v>-0.58778666490211895</v>
      </c>
      <c r="I44">
        <f t="shared" si="3"/>
        <v>-0.13333333333333333</v>
      </c>
      <c r="J44">
        <f t="shared" si="4"/>
        <v>7.8371555320282532E-2</v>
      </c>
      <c r="K44">
        <f>J44+J45+J46+J47</f>
        <v>0.29296327697816249</v>
      </c>
      <c r="L44" t="s">
        <v>501</v>
      </c>
    </row>
    <row r="45" spans="1:12" x14ac:dyDescent="0.3">
      <c r="C45" t="s">
        <v>480</v>
      </c>
      <c r="D45">
        <v>2</v>
      </c>
      <c r="E45">
        <v>2</v>
      </c>
      <c r="F45">
        <f t="shared" si="5"/>
        <v>0.33333333333333331</v>
      </c>
      <c r="G45">
        <f t="shared" si="1"/>
        <v>0.2</v>
      </c>
      <c r="H45">
        <f t="shared" si="2"/>
        <v>0.51082562376599061</v>
      </c>
      <c r="I45">
        <f t="shared" si="3"/>
        <v>0.1333333333333333</v>
      </c>
      <c r="J45">
        <f t="shared" si="4"/>
        <v>6.8110083168798727E-2</v>
      </c>
    </row>
    <row r="46" spans="1:12" x14ac:dyDescent="0.3">
      <c r="C46" t="s">
        <v>491</v>
      </c>
      <c r="D46">
        <v>2</v>
      </c>
      <c r="E46">
        <v>2</v>
      </c>
      <c r="F46">
        <f t="shared" si="5"/>
        <v>0.33333333333333331</v>
      </c>
      <c r="G46">
        <f t="shared" si="1"/>
        <v>0.2</v>
      </c>
      <c r="H46">
        <f t="shared" si="2"/>
        <v>0.51082562376599061</v>
      </c>
      <c r="I46">
        <f t="shared" si="3"/>
        <v>0.1333333333333333</v>
      </c>
      <c r="J46">
        <f t="shared" si="4"/>
        <v>6.8110083168798727E-2</v>
      </c>
    </row>
    <row r="47" spans="1:12" x14ac:dyDescent="0.3">
      <c r="C47" t="s">
        <v>492</v>
      </c>
      <c r="D47">
        <v>1</v>
      </c>
      <c r="E47">
        <v>3</v>
      </c>
      <c r="F47">
        <f t="shared" si="5"/>
        <v>0.16666666666666666</v>
      </c>
      <c r="G47">
        <f t="shared" si="1"/>
        <v>0.3</v>
      </c>
      <c r="H47">
        <f t="shared" si="2"/>
        <v>-0.58778666490211895</v>
      </c>
      <c r="I47">
        <f t="shared" si="3"/>
        <v>-0.13333333333333333</v>
      </c>
      <c r="J47">
        <f t="shared" si="4"/>
        <v>7.8371555320282532E-2</v>
      </c>
    </row>
    <row r="48" spans="1:12" x14ac:dyDescent="0.3">
      <c r="A48" t="s">
        <v>213</v>
      </c>
      <c r="B48" t="s">
        <v>126</v>
      </c>
      <c r="C48" t="s">
        <v>481</v>
      </c>
      <c r="D48">
        <v>1</v>
      </c>
      <c r="E48">
        <v>3</v>
      </c>
      <c r="F48">
        <f t="shared" si="5"/>
        <v>0.16666666666666666</v>
      </c>
      <c r="G48">
        <f t="shared" si="1"/>
        <v>0.3</v>
      </c>
      <c r="H48">
        <f t="shared" si="2"/>
        <v>-0.58778666490211895</v>
      </c>
      <c r="I48">
        <f t="shared" si="3"/>
        <v>-0.13333333333333333</v>
      </c>
      <c r="J48">
        <f t="shared" si="4"/>
        <v>7.8371555320282532E-2</v>
      </c>
      <c r="K48">
        <f>J48+J49+J50</f>
        <v>0.29296327697816249</v>
      </c>
      <c r="L48" t="s">
        <v>501</v>
      </c>
    </row>
    <row r="49" spans="1:12" x14ac:dyDescent="0.3">
      <c r="C49" t="s">
        <v>480</v>
      </c>
      <c r="D49">
        <v>1</v>
      </c>
      <c r="E49">
        <v>3</v>
      </c>
      <c r="F49">
        <f t="shared" si="5"/>
        <v>0.16666666666666666</v>
      </c>
      <c r="G49">
        <f t="shared" si="1"/>
        <v>0.3</v>
      </c>
      <c r="H49">
        <f t="shared" si="2"/>
        <v>-0.58778666490211895</v>
      </c>
      <c r="I49">
        <f t="shared" si="3"/>
        <v>-0.13333333333333333</v>
      </c>
      <c r="J49">
        <f t="shared" si="4"/>
        <v>7.8371555320282532E-2</v>
      </c>
    </row>
    <row r="50" spans="1:12" x14ac:dyDescent="0.3">
      <c r="B50" s="4" t="s">
        <v>317</v>
      </c>
      <c r="C50" t="s">
        <v>488</v>
      </c>
      <c r="D50">
        <v>4</v>
      </c>
      <c r="E50">
        <v>4</v>
      </c>
      <c r="F50">
        <f t="shared" si="5"/>
        <v>0.66666666666666663</v>
      </c>
      <c r="G50">
        <f t="shared" si="1"/>
        <v>0.4</v>
      </c>
      <c r="H50">
        <f t="shared" si="2"/>
        <v>0.51082562376599061</v>
      </c>
      <c r="I50">
        <f t="shared" si="3"/>
        <v>0.26666666666666661</v>
      </c>
      <c r="J50">
        <f t="shared" si="4"/>
        <v>0.13622016633759745</v>
      </c>
    </row>
    <row r="51" spans="1:12" x14ac:dyDescent="0.3">
      <c r="A51" t="s">
        <v>214</v>
      </c>
      <c r="B51" t="s">
        <v>127</v>
      </c>
      <c r="C51" t="s">
        <v>494</v>
      </c>
      <c r="D51">
        <v>3</v>
      </c>
      <c r="E51">
        <v>4</v>
      </c>
      <c r="F51">
        <f t="shared" si="5"/>
        <v>0.5</v>
      </c>
      <c r="G51">
        <f t="shared" si="1"/>
        <v>0.4</v>
      </c>
      <c r="H51">
        <f t="shared" si="2"/>
        <v>0.22314355131420976</v>
      </c>
      <c r="I51">
        <f t="shared" si="3"/>
        <v>9.9999999999999978E-2</v>
      </c>
      <c r="J51">
        <f t="shared" si="4"/>
        <v>2.2314355131420972E-2</v>
      </c>
      <c r="K51">
        <f>J51+J52+J53</f>
        <v>0.10419792764029771</v>
      </c>
      <c r="L51" t="s">
        <v>501</v>
      </c>
    </row>
    <row r="52" spans="1:12" x14ac:dyDescent="0.3">
      <c r="C52" t="s">
        <v>491</v>
      </c>
      <c r="D52">
        <v>1</v>
      </c>
      <c r="E52">
        <v>3</v>
      </c>
      <c r="F52">
        <f t="shared" si="5"/>
        <v>0.16666666666666666</v>
      </c>
      <c r="G52">
        <f t="shared" si="1"/>
        <v>0.3</v>
      </c>
      <c r="H52">
        <f t="shared" si="2"/>
        <v>-0.58778666490211895</v>
      </c>
      <c r="I52">
        <f t="shared" si="3"/>
        <v>-0.13333333333333333</v>
      </c>
      <c r="J52">
        <f t="shared" si="4"/>
        <v>7.8371555320282532E-2</v>
      </c>
    </row>
    <row r="53" spans="1:12" x14ac:dyDescent="0.3">
      <c r="C53" t="s">
        <v>492</v>
      </c>
      <c r="D53">
        <v>2</v>
      </c>
      <c r="E53">
        <v>3</v>
      </c>
      <c r="F53">
        <f t="shared" si="5"/>
        <v>0.33333333333333331</v>
      </c>
      <c r="G53">
        <f t="shared" si="1"/>
        <v>0.3</v>
      </c>
      <c r="H53">
        <f t="shared" si="2"/>
        <v>0.10536051565782635</v>
      </c>
      <c r="I53">
        <f t="shared" si="3"/>
        <v>3.3333333333333326E-2</v>
      </c>
      <c r="J53">
        <f t="shared" si="4"/>
        <v>3.5120171885942111E-3</v>
      </c>
    </row>
    <row r="54" spans="1:12" x14ac:dyDescent="0.3">
      <c r="A54" t="s">
        <v>215</v>
      </c>
      <c r="B54" t="s">
        <v>128</v>
      </c>
      <c r="C54" t="s">
        <v>481</v>
      </c>
      <c r="D54">
        <v>2</v>
      </c>
      <c r="E54">
        <v>3</v>
      </c>
      <c r="F54">
        <f t="shared" si="5"/>
        <v>0.33333333333333331</v>
      </c>
      <c r="G54">
        <f t="shared" si="1"/>
        <v>0.3</v>
      </c>
      <c r="H54">
        <f t="shared" si="2"/>
        <v>0.10536051565782635</v>
      </c>
      <c r="I54">
        <f t="shared" si="3"/>
        <v>3.3333333333333326E-2</v>
      </c>
      <c r="J54">
        <f t="shared" si="4"/>
        <v>3.5120171885942111E-3</v>
      </c>
      <c r="K54">
        <f>J54+J55+J56</f>
        <v>0.34366579342483128</v>
      </c>
    </row>
    <row r="55" spans="1:12" x14ac:dyDescent="0.3">
      <c r="C55" t="s">
        <v>480</v>
      </c>
      <c r="D55">
        <v>2</v>
      </c>
      <c r="E55">
        <v>2</v>
      </c>
      <c r="F55">
        <f t="shared" si="5"/>
        <v>0.33333333333333331</v>
      </c>
      <c r="G55">
        <f t="shared" si="1"/>
        <v>0.2</v>
      </c>
      <c r="H55">
        <f t="shared" si="2"/>
        <v>0.51082562376599061</v>
      </c>
      <c r="I55">
        <f t="shared" si="3"/>
        <v>0.1333333333333333</v>
      </c>
      <c r="J55">
        <f t="shared" si="4"/>
        <v>6.8110083168798727E-2</v>
      </c>
    </row>
    <row r="56" spans="1:12" x14ac:dyDescent="0.3">
      <c r="C56" t="s">
        <v>488</v>
      </c>
      <c r="D56">
        <v>2</v>
      </c>
      <c r="E56">
        <v>7</v>
      </c>
      <c r="F56">
        <f t="shared" si="5"/>
        <v>0.33333333333333331</v>
      </c>
      <c r="G56">
        <f t="shared" si="1"/>
        <v>0.7</v>
      </c>
      <c r="H56">
        <f t="shared" si="2"/>
        <v>-0.74193734472937722</v>
      </c>
      <c r="I56">
        <f t="shared" si="3"/>
        <v>-0.36666666666666664</v>
      </c>
      <c r="J56">
        <f t="shared" si="4"/>
        <v>0.27204369306743831</v>
      </c>
    </row>
    <row r="57" spans="1:12" x14ac:dyDescent="0.3">
      <c r="A57" t="s">
        <v>216</v>
      </c>
      <c r="B57" t="s">
        <v>129</v>
      </c>
      <c r="C57" t="s">
        <v>494</v>
      </c>
      <c r="D57">
        <v>4</v>
      </c>
      <c r="E57">
        <v>4</v>
      </c>
      <c r="F57">
        <f t="shared" si="5"/>
        <v>0.66666666666666663</v>
      </c>
      <c r="G57">
        <f t="shared" si="1"/>
        <v>0.4</v>
      </c>
      <c r="H57">
        <f t="shared" si="2"/>
        <v>0.51082562376599061</v>
      </c>
      <c r="I57">
        <f t="shared" si="3"/>
        <v>0.26666666666666661</v>
      </c>
      <c r="J57">
        <f t="shared" si="4"/>
        <v>0.13622016633759745</v>
      </c>
      <c r="K57">
        <f>J57+J58</f>
        <v>0.29296327697816249</v>
      </c>
      <c r="L57" t="s">
        <v>501</v>
      </c>
    </row>
    <row r="58" spans="1:12" x14ac:dyDescent="0.3">
      <c r="C58" t="s">
        <v>488</v>
      </c>
      <c r="D58">
        <v>2</v>
      </c>
      <c r="E58">
        <v>6</v>
      </c>
      <c r="F58">
        <f t="shared" si="5"/>
        <v>0.33333333333333331</v>
      </c>
      <c r="G58">
        <f t="shared" si="1"/>
        <v>0.6</v>
      </c>
      <c r="H58">
        <f t="shared" si="2"/>
        <v>-0.58778666490211895</v>
      </c>
      <c r="I58">
        <f t="shared" si="3"/>
        <v>-0.26666666666666666</v>
      </c>
      <c r="J58">
        <f t="shared" si="4"/>
        <v>0.15674311064056506</v>
      </c>
    </row>
    <row r="59" spans="1:12" x14ac:dyDescent="0.3">
      <c r="A59" t="s">
        <v>217</v>
      </c>
      <c r="B59" t="s">
        <v>130</v>
      </c>
      <c r="C59" t="s">
        <v>494</v>
      </c>
      <c r="D59">
        <v>2</v>
      </c>
      <c r="E59">
        <v>5</v>
      </c>
      <c r="F59">
        <f t="shared" si="5"/>
        <v>0.33333333333333331</v>
      </c>
      <c r="G59">
        <f t="shared" si="1"/>
        <v>0.5</v>
      </c>
      <c r="H59">
        <f t="shared" si="2"/>
        <v>-0.40546510810816444</v>
      </c>
      <c r="I59">
        <f t="shared" si="3"/>
        <v>-0.16666666666666669</v>
      </c>
      <c r="J59">
        <f t="shared" si="4"/>
        <v>6.7577518018027416E-2</v>
      </c>
      <c r="K59">
        <f>J59+J60+J61</f>
        <v>0.9156287217075777</v>
      </c>
    </row>
    <row r="60" spans="1:12" x14ac:dyDescent="0.3">
      <c r="C60" t="s">
        <v>491</v>
      </c>
      <c r="D60">
        <v>3</v>
      </c>
      <c r="E60">
        <v>1</v>
      </c>
      <c r="F60">
        <f t="shared" si="5"/>
        <v>0.5</v>
      </c>
      <c r="G60">
        <f t="shared" si="1"/>
        <v>0.1</v>
      </c>
      <c r="H60">
        <f t="shared" si="2"/>
        <v>1.6094379124341003</v>
      </c>
      <c r="I60">
        <f t="shared" si="3"/>
        <v>0.4</v>
      </c>
      <c r="J60">
        <f t="shared" si="4"/>
        <v>0.64377516497364018</v>
      </c>
    </row>
    <row r="61" spans="1:12" x14ac:dyDescent="0.3">
      <c r="C61" t="s">
        <v>492</v>
      </c>
      <c r="D61">
        <v>1</v>
      </c>
      <c r="E61">
        <v>4</v>
      </c>
      <c r="F61">
        <f t="shared" si="5"/>
        <v>0.16666666666666666</v>
      </c>
      <c r="G61">
        <f t="shared" si="1"/>
        <v>0.4</v>
      </c>
      <c r="H61">
        <f t="shared" si="2"/>
        <v>-0.87546873735390007</v>
      </c>
      <c r="I61">
        <f t="shared" si="3"/>
        <v>-0.23333333333333336</v>
      </c>
      <c r="J61">
        <f t="shared" si="4"/>
        <v>0.20427603871591005</v>
      </c>
    </row>
    <row r="62" spans="1:12" x14ac:dyDescent="0.3">
      <c r="A62" t="s">
        <v>218</v>
      </c>
      <c r="B62" t="s">
        <v>131</v>
      </c>
      <c r="C62" t="s">
        <v>481</v>
      </c>
      <c r="D62">
        <v>1</v>
      </c>
      <c r="E62">
        <v>4</v>
      </c>
      <c r="F62">
        <f t="shared" si="5"/>
        <v>0.16666666666666666</v>
      </c>
      <c r="G62">
        <f t="shared" si="1"/>
        <v>0.4</v>
      </c>
      <c r="H62">
        <f t="shared" si="2"/>
        <v>-0.87546873735390007</v>
      </c>
      <c r="I62">
        <f t="shared" si="3"/>
        <v>-0.23333333333333336</v>
      </c>
      <c r="J62">
        <f t="shared" si="4"/>
        <v>0.20427603871591005</v>
      </c>
      <c r="K62">
        <f>J62+J63+J64+J65</f>
        <v>0.3465735902799727</v>
      </c>
    </row>
    <row r="63" spans="1:12" x14ac:dyDescent="0.3">
      <c r="C63" t="s">
        <v>480</v>
      </c>
      <c r="D63">
        <v>2</v>
      </c>
      <c r="E63">
        <v>2</v>
      </c>
      <c r="F63">
        <f t="shared" si="5"/>
        <v>0.33333333333333331</v>
      </c>
      <c r="G63">
        <f t="shared" si="1"/>
        <v>0.2</v>
      </c>
      <c r="H63">
        <f t="shared" si="2"/>
        <v>0.51082562376599061</v>
      </c>
      <c r="I63">
        <f t="shared" si="3"/>
        <v>0.1333333333333333</v>
      </c>
      <c r="J63">
        <f t="shared" si="4"/>
        <v>6.8110083168798727E-2</v>
      </c>
    </row>
    <row r="64" spans="1:12" x14ac:dyDescent="0.3">
      <c r="C64" t="s">
        <v>491</v>
      </c>
      <c r="D64">
        <v>2</v>
      </c>
      <c r="E64">
        <v>2</v>
      </c>
      <c r="F64">
        <f t="shared" si="5"/>
        <v>0.33333333333333331</v>
      </c>
      <c r="G64">
        <f t="shared" si="1"/>
        <v>0.2</v>
      </c>
      <c r="H64">
        <f t="shared" si="2"/>
        <v>0.51082562376599061</v>
      </c>
      <c r="I64">
        <f t="shared" si="3"/>
        <v>0.1333333333333333</v>
      </c>
      <c r="J64">
        <f t="shared" si="4"/>
        <v>6.8110083168798727E-2</v>
      </c>
    </row>
    <row r="65" spans="1:12" x14ac:dyDescent="0.3">
      <c r="C65" t="s">
        <v>492</v>
      </c>
      <c r="D65">
        <v>1</v>
      </c>
      <c r="E65">
        <v>2</v>
      </c>
      <c r="F65">
        <f t="shared" si="5"/>
        <v>0.16666666666666666</v>
      </c>
      <c r="G65">
        <f t="shared" si="1"/>
        <v>0.2</v>
      </c>
      <c r="H65">
        <f t="shared" si="2"/>
        <v>-0.1823215567939547</v>
      </c>
      <c r="I65">
        <f t="shared" si="3"/>
        <v>-3.3333333333333354E-2</v>
      </c>
      <c r="J65">
        <f t="shared" si="4"/>
        <v>6.0773852264651602E-3</v>
      </c>
    </row>
    <row r="66" spans="1:12" x14ac:dyDescent="0.3">
      <c r="A66" t="s">
        <v>219</v>
      </c>
      <c r="B66" t="s">
        <v>132</v>
      </c>
      <c r="C66" t="s">
        <v>481</v>
      </c>
      <c r="D66">
        <v>2</v>
      </c>
      <c r="E66">
        <v>3</v>
      </c>
      <c r="F66">
        <f t="shared" si="5"/>
        <v>0.33333333333333331</v>
      </c>
      <c r="G66">
        <f t="shared" si="1"/>
        <v>0.3</v>
      </c>
      <c r="H66">
        <f t="shared" si="2"/>
        <v>0.10536051565782635</v>
      </c>
      <c r="I66">
        <f t="shared" si="3"/>
        <v>3.3333333333333326E-2</v>
      </c>
      <c r="J66">
        <f t="shared" si="4"/>
        <v>3.5120171885942111E-3</v>
      </c>
      <c r="K66">
        <f>J66+J67+J68+J69</f>
        <v>0.15607104090414065</v>
      </c>
      <c r="L66" t="s">
        <v>501</v>
      </c>
    </row>
    <row r="67" spans="1:12" x14ac:dyDescent="0.3">
      <c r="C67" t="s">
        <v>480</v>
      </c>
      <c r="D67">
        <v>1</v>
      </c>
      <c r="E67">
        <v>3</v>
      </c>
      <c r="F67">
        <f t="shared" si="5"/>
        <v>0.16666666666666666</v>
      </c>
      <c r="G67">
        <f t="shared" si="1"/>
        <v>0.3</v>
      </c>
      <c r="H67">
        <f t="shared" si="2"/>
        <v>-0.58778666490211895</v>
      </c>
      <c r="I67">
        <f t="shared" si="3"/>
        <v>-0.13333333333333333</v>
      </c>
      <c r="J67">
        <f t="shared" si="4"/>
        <v>7.8371555320282532E-2</v>
      </c>
    </row>
    <row r="68" spans="1:12" x14ac:dyDescent="0.3">
      <c r="C68" t="s">
        <v>491</v>
      </c>
      <c r="D68">
        <v>2</v>
      </c>
      <c r="E68">
        <v>2</v>
      </c>
      <c r="F68">
        <f t="shared" si="5"/>
        <v>0.33333333333333331</v>
      </c>
      <c r="G68">
        <f t="shared" si="1"/>
        <v>0.2</v>
      </c>
      <c r="H68">
        <f t="shared" si="2"/>
        <v>0.51082562376599061</v>
      </c>
      <c r="I68">
        <f t="shared" si="3"/>
        <v>0.1333333333333333</v>
      </c>
      <c r="J68">
        <f t="shared" si="4"/>
        <v>6.8110083168798727E-2</v>
      </c>
    </row>
    <row r="69" spans="1:12" x14ac:dyDescent="0.3">
      <c r="C69" t="s">
        <v>492</v>
      </c>
      <c r="D69">
        <v>1</v>
      </c>
      <c r="E69">
        <v>2</v>
      </c>
      <c r="F69">
        <f t="shared" si="5"/>
        <v>0.16666666666666666</v>
      </c>
      <c r="G69">
        <f t="shared" si="1"/>
        <v>0.2</v>
      </c>
      <c r="H69">
        <f t="shared" si="2"/>
        <v>-0.1823215567939547</v>
      </c>
      <c r="I69">
        <f t="shared" si="3"/>
        <v>-3.3333333333333354E-2</v>
      </c>
      <c r="J69">
        <f t="shared" si="4"/>
        <v>6.0773852264651602E-3</v>
      </c>
    </row>
    <row r="70" spans="1:12" x14ac:dyDescent="0.3">
      <c r="A70" t="s">
        <v>220</v>
      </c>
      <c r="B70" t="s">
        <v>133</v>
      </c>
      <c r="C70" t="s">
        <v>481</v>
      </c>
      <c r="D70">
        <v>1</v>
      </c>
      <c r="E70">
        <v>3</v>
      </c>
      <c r="F70">
        <f t="shared" si="5"/>
        <v>0.16666666666666666</v>
      </c>
      <c r="G70">
        <f t="shared" si="1"/>
        <v>0.3</v>
      </c>
      <c r="H70">
        <f t="shared" si="2"/>
        <v>-0.58778666490211895</v>
      </c>
      <c r="I70">
        <f t="shared" si="3"/>
        <v>-0.13333333333333333</v>
      </c>
      <c r="J70">
        <f t="shared" si="4"/>
        <v>7.8371555320282532E-2</v>
      </c>
      <c r="K70">
        <f>J70+J71+J72+J73</f>
        <v>0.29296327697816249</v>
      </c>
      <c r="L70" t="s">
        <v>501</v>
      </c>
    </row>
    <row r="71" spans="1:12" x14ac:dyDescent="0.3">
      <c r="C71" t="s">
        <v>480</v>
      </c>
      <c r="D71">
        <v>2</v>
      </c>
      <c r="E71">
        <v>2</v>
      </c>
      <c r="F71">
        <f t="shared" si="5"/>
        <v>0.33333333333333331</v>
      </c>
      <c r="G71">
        <f t="shared" si="1"/>
        <v>0.2</v>
      </c>
      <c r="H71">
        <f t="shared" si="2"/>
        <v>0.51082562376599061</v>
      </c>
      <c r="I71">
        <f t="shared" si="3"/>
        <v>0.1333333333333333</v>
      </c>
      <c r="J71">
        <f t="shared" si="4"/>
        <v>6.8110083168798727E-2</v>
      </c>
    </row>
    <row r="72" spans="1:12" x14ac:dyDescent="0.3">
      <c r="C72" t="s">
        <v>491</v>
      </c>
      <c r="D72">
        <v>2</v>
      </c>
      <c r="E72">
        <v>2</v>
      </c>
      <c r="F72">
        <f t="shared" si="5"/>
        <v>0.33333333333333331</v>
      </c>
      <c r="G72">
        <f t="shared" si="1"/>
        <v>0.2</v>
      </c>
      <c r="H72">
        <f t="shared" si="2"/>
        <v>0.51082562376599061</v>
      </c>
      <c r="I72">
        <f t="shared" si="3"/>
        <v>0.1333333333333333</v>
      </c>
      <c r="J72">
        <f t="shared" si="4"/>
        <v>6.8110083168798727E-2</v>
      </c>
    </row>
    <row r="73" spans="1:12" x14ac:dyDescent="0.3">
      <c r="C73" t="s">
        <v>492</v>
      </c>
      <c r="D73">
        <v>1</v>
      </c>
      <c r="E73">
        <v>3</v>
      </c>
      <c r="F73">
        <f t="shared" si="5"/>
        <v>0.16666666666666666</v>
      </c>
      <c r="G73">
        <f t="shared" si="1"/>
        <v>0.3</v>
      </c>
      <c r="H73">
        <f t="shared" si="2"/>
        <v>-0.58778666490211895</v>
      </c>
      <c r="I73">
        <f t="shared" si="3"/>
        <v>-0.13333333333333333</v>
      </c>
      <c r="J73">
        <f t="shared" si="4"/>
        <v>7.8371555320282532E-2</v>
      </c>
    </row>
    <row r="74" spans="1:12" x14ac:dyDescent="0.3">
      <c r="A74" t="s">
        <v>221</v>
      </c>
      <c r="B74" t="s">
        <v>134</v>
      </c>
      <c r="C74" t="s">
        <v>481</v>
      </c>
      <c r="D74">
        <v>3</v>
      </c>
      <c r="E74">
        <v>1</v>
      </c>
      <c r="F74">
        <f t="shared" si="5"/>
        <v>0.5</v>
      </c>
      <c r="G74">
        <f t="shared" si="1"/>
        <v>0.1</v>
      </c>
      <c r="H74">
        <f t="shared" si="2"/>
        <v>1.6094379124341003</v>
      </c>
      <c r="I74">
        <f t="shared" si="3"/>
        <v>0.4</v>
      </c>
      <c r="J74">
        <f t="shared" si="4"/>
        <v>0.64377516497364018</v>
      </c>
      <c r="K74">
        <f>J74+J75+J76</f>
        <v>0.8788898309344878</v>
      </c>
    </row>
    <row r="75" spans="1:12" x14ac:dyDescent="0.3">
      <c r="C75" t="s">
        <v>493</v>
      </c>
      <c r="D75">
        <v>2</v>
      </c>
      <c r="E75">
        <v>6</v>
      </c>
      <c r="F75">
        <f t="shared" si="5"/>
        <v>0.33333333333333331</v>
      </c>
      <c r="G75">
        <f t="shared" si="1"/>
        <v>0.6</v>
      </c>
      <c r="H75">
        <f t="shared" si="2"/>
        <v>-0.58778666490211895</v>
      </c>
      <c r="I75">
        <f t="shared" si="3"/>
        <v>-0.26666666666666666</v>
      </c>
      <c r="J75">
        <f t="shared" si="4"/>
        <v>0.15674311064056506</v>
      </c>
    </row>
    <row r="76" spans="1:12" x14ac:dyDescent="0.3">
      <c r="C76" t="s">
        <v>492</v>
      </c>
      <c r="D76">
        <v>1</v>
      </c>
      <c r="E76">
        <v>3</v>
      </c>
      <c r="F76">
        <f t="shared" si="5"/>
        <v>0.16666666666666666</v>
      </c>
      <c r="G76">
        <f t="shared" si="1"/>
        <v>0.3</v>
      </c>
      <c r="H76">
        <f t="shared" si="2"/>
        <v>-0.58778666490211895</v>
      </c>
      <c r="I76">
        <f t="shared" si="3"/>
        <v>-0.13333333333333333</v>
      </c>
      <c r="J76">
        <f t="shared" si="4"/>
        <v>7.8371555320282532E-2</v>
      </c>
    </row>
    <row r="77" spans="1:12" x14ac:dyDescent="0.3">
      <c r="A77" t="s">
        <v>222</v>
      </c>
      <c r="B77" t="s">
        <v>138</v>
      </c>
      <c r="C77" t="s">
        <v>481</v>
      </c>
      <c r="D77">
        <v>3</v>
      </c>
      <c r="E77">
        <v>2</v>
      </c>
      <c r="F77">
        <f t="shared" si="5"/>
        <v>0.5</v>
      </c>
      <c r="G77">
        <f t="shared" si="1"/>
        <v>0.2</v>
      </c>
      <c r="H77">
        <f t="shared" si="2"/>
        <v>0.91629073187415511</v>
      </c>
      <c r="I77">
        <f t="shared" si="3"/>
        <v>0.3</v>
      </c>
      <c r="J77">
        <f t="shared" si="4"/>
        <v>0.27488721956224654</v>
      </c>
      <c r="K77">
        <f>J77+J78+J79+J80</f>
        <v>0.43770771542927678</v>
      </c>
    </row>
    <row r="78" spans="1:12" x14ac:dyDescent="0.3">
      <c r="C78" t="s">
        <v>480</v>
      </c>
      <c r="D78">
        <v>1</v>
      </c>
      <c r="E78">
        <v>3</v>
      </c>
      <c r="F78">
        <f t="shared" si="5"/>
        <v>0.16666666666666666</v>
      </c>
      <c r="G78">
        <f t="shared" si="1"/>
        <v>0.3</v>
      </c>
      <c r="H78">
        <f t="shared" si="2"/>
        <v>-0.58778666490211895</v>
      </c>
      <c r="I78">
        <f t="shared" si="3"/>
        <v>-0.13333333333333333</v>
      </c>
      <c r="J78">
        <f t="shared" si="4"/>
        <v>7.8371555320282532E-2</v>
      </c>
    </row>
    <row r="79" spans="1:12" x14ac:dyDescent="0.3">
      <c r="C79" t="s">
        <v>491</v>
      </c>
      <c r="D79">
        <v>1</v>
      </c>
      <c r="E79">
        <v>2</v>
      </c>
      <c r="F79">
        <f t="shared" si="5"/>
        <v>0.16666666666666666</v>
      </c>
      <c r="G79">
        <f t="shared" si="1"/>
        <v>0.2</v>
      </c>
      <c r="H79">
        <f t="shared" si="2"/>
        <v>-0.1823215567939547</v>
      </c>
      <c r="I79">
        <f t="shared" si="3"/>
        <v>-3.3333333333333354E-2</v>
      </c>
      <c r="J79">
        <f t="shared" si="4"/>
        <v>6.0773852264651602E-3</v>
      </c>
    </row>
    <row r="80" spans="1:12" x14ac:dyDescent="0.3">
      <c r="C80" t="s">
        <v>492</v>
      </c>
      <c r="D80">
        <v>1</v>
      </c>
      <c r="E80">
        <v>3</v>
      </c>
      <c r="F80">
        <f t="shared" si="5"/>
        <v>0.16666666666666666</v>
      </c>
      <c r="G80">
        <f t="shared" si="1"/>
        <v>0.3</v>
      </c>
      <c r="H80">
        <f t="shared" si="2"/>
        <v>-0.58778666490211895</v>
      </c>
      <c r="I80">
        <f t="shared" si="3"/>
        <v>-0.13333333333333333</v>
      </c>
      <c r="J80">
        <f t="shared" si="4"/>
        <v>7.8371555320282532E-2</v>
      </c>
    </row>
    <row r="81" spans="1:12" x14ac:dyDescent="0.3">
      <c r="A81" t="s">
        <v>223</v>
      </c>
      <c r="B81" t="s">
        <v>139</v>
      </c>
      <c r="C81" t="s">
        <v>494</v>
      </c>
      <c r="D81">
        <v>3</v>
      </c>
      <c r="E81">
        <v>4</v>
      </c>
      <c r="F81">
        <f t="shared" si="5"/>
        <v>0.5</v>
      </c>
      <c r="G81">
        <f t="shared" si="1"/>
        <v>0.4</v>
      </c>
      <c r="H81">
        <f t="shared" si="2"/>
        <v>0.22314355131420976</v>
      </c>
      <c r="I81">
        <f t="shared" si="3"/>
        <v>9.9999999999999978E-2</v>
      </c>
      <c r="J81">
        <f t="shared" si="4"/>
        <v>2.2314355131420972E-2</v>
      </c>
      <c r="K81">
        <f>J81+J82+J83</f>
        <v>0.10419792764029771</v>
      </c>
      <c r="L81" t="s">
        <v>501</v>
      </c>
    </row>
    <row r="82" spans="1:12" x14ac:dyDescent="0.3">
      <c r="C82" t="s">
        <v>491</v>
      </c>
      <c r="D82">
        <v>1</v>
      </c>
      <c r="E82">
        <v>3</v>
      </c>
      <c r="F82">
        <f t="shared" si="5"/>
        <v>0.16666666666666666</v>
      </c>
      <c r="G82">
        <f t="shared" si="1"/>
        <v>0.3</v>
      </c>
      <c r="H82">
        <f t="shared" si="2"/>
        <v>-0.58778666490211895</v>
      </c>
      <c r="I82">
        <f t="shared" si="3"/>
        <v>-0.13333333333333333</v>
      </c>
      <c r="J82">
        <f t="shared" si="4"/>
        <v>7.8371555320282532E-2</v>
      </c>
    </row>
    <row r="83" spans="1:12" x14ac:dyDescent="0.3">
      <c r="C83" t="s">
        <v>492</v>
      </c>
      <c r="D83">
        <v>2</v>
      </c>
      <c r="E83">
        <v>3</v>
      </c>
      <c r="F83">
        <f t="shared" si="5"/>
        <v>0.33333333333333331</v>
      </c>
      <c r="G83">
        <f t="shared" si="1"/>
        <v>0.3</v>
      </c>
      <c r="H83">
        <f t="shared" si="2"/>
        <v>0.10536051565782635</v>
      </c>
      <c r="I83">
        <f t="shared" si="3"/>
        <v>3.3333333333333326E-2</v>
      </c>
      <c r="J83">
        <f t="shared" si="4"/>
        <v>3.5120171885942111E-3</v>
      </c>
    </row>
    <row r="84" spans="1:12" x14ac:dyDescent="0.3">
      <c r="A84" t="s">
        <v>224</v>
      </c>
      <c r="B84" t="s">
        <v>141</v>
      </c>
      <c r="C84" t="s">
        <v>481</v>
      </c>
      <c r="D84">
        <v>2</v>
      </c>
      <c r="E84">
        <v>2</v>
      </c>
      <c r="F84">
        <f t="shared" si="5"/>
        <v>0.33333333333333331</v>
      </c>
      <c r="G84">
        <f t="shared" si="1"/>
        <v>0.2</v>
      </c>
      <c r="H84">
        <f t="shared" si="2"/>
        <v>0.51082562376599061</v>
      </c>
      <c r="I84">
        <f t="shared" si="3"/>
        <v>0.1333333333333333</v>
      </c>
      <c r="J84">
        <f t="shared" si="4"/>
        <v>6.8110083168798727E-2</v>
      </c>
      <c r="K84">
        <f>J84+J85+J86</f>
        <v>0.62108076391228872</v>
      </c>
    </row>
    <row r="85" spans="1:12" x14ac:dyDescent="0.3">
      <c r="C85" t="s">
        <v>480</v>
      </c>
      <c r="D85">
        <v>2</v>
      </c>
      <c r="E85">
        <v>1</v>
      </c>
      <c r="F85">
        <f t="shared" si="5"/>
        <v>0.33333333333333331</v>
      </c>
      <c r="G85">
        <f t="shared" si="1"/>
        <v>0.1</v>
      </c>
      <c r="H85">
        <f t="shared" si="2"/>
        <v>1.2039728043259359</v>
      </c>
      <c r="I85">
        <f t="shared" si="3"/>
        <v>0.23333333333333331</v>
      </c>
      <c r="J85">
        <f t="shared" si="4"/>
        <v>0.28092698767605168</v>
      </c>
    </row>
    <row r="86" spans="1:12" x14ac:dyDescent="0.3">
      <c r="C86" t="s">
        <v>488</v>
      </c>
      <c r="D86">
        <v>2</v>
      </c>
      <c r="E86">
        <v>7</v>
      </c>
      <c r="F86">
        <f t="shared" si="5"/>
        <v>0.33333333333333331</v>
      </c>
      <c r="G86">
        <f t="shared" si="1"/>
        <v>0.7</v>
      </c>
      <c r="H86">
        <f t="shared" si="2"/>
        <v>-0.74193734472937722</v>
      </c>
      <c r="I86">
        <f t="shared" si="3"/>
        <v>-0.36666666666666664</v>
      </c>
      <c r="J86">
        <f t="shared" si="4"/>
        <v>0.27204369306743831</v>
      </c>
    </row>
    <row r="87" spans="1:12" x14ac:dyDescent="0.3">
      <c r="A87" t="s">
        <v>225</v>
      </c>
      <c r="B87" t="s">
        <v>142</v>
      </c>
      <c r="C87" t="s">
        <v>494</v>
      </c>
      <c r="D87">
        <v>2</v>
      </c>
      <c r="E87">
        <v>7</v>
      </c>
      <c r="F87">
        <f t="shared" si="5"/>
        <v>0.33333333333333331</v>
      </c>
      <c r="G87">
        <f t="shared" si="1"/>
        <v>0.7</v>
      </c>
      <c r="H87">
        <f t="shared" si="2"/>
        <v>-0.74193734472937722</v>
      </c>
      <c r="I87">
        <f t="shared" si="3"/>
        <v>-0.36666666666666664</v>
      </c>
      <c r="J87">
        <f t="shared" si="4"/>
        <v>0.27204369306743831</v>
      </c>
      <c r="K87">
        <f>J87+J88+J89</f>
        <v>0.9218962432675436</v>
      </c>
    </row>
    <row r="88" spans="1:12" x14ac:dyDescent="0.3">
      <c r="C88" t="s">
        <v>491</v>
      </c>
      <c r="D88">
        <v>3</v>
      </c>
      <c r="E88">
        <v>1</v>
      </c>
      <c r="F88">
        <f t="shared" si="5"/>
        <v>0.5</v>
      </c>
      <c r="G88">
        <f t="shared" si="1"/>
        <v>0.1</v>
      </c>
      <c r="H88">
        <f t="shared" si="2"/>
        <v>1.6094379124341003</v>
      </c>
      <c r="I88">
        <f t="shared" si="3"/>
        <v>0.4</v>
      </c>
      <c r="J88">
        <f t="shared" si="4"/>
        <v>0.64377516497364018</v>
      </c>
    </row>
    <row r="89" spans="1:12" x14ac:dyDescent="0.3">
      <c r="C89" t="s">
        <v>492</v>
      </c>
      <c r="D89">
        <v>1</v>
      </c>
      <c r="E89">
        <v>2</v>
      </c>
      <c r="F89">
        <f t="shared" si="5"/>
        <v>0.16666666666666666</v>
      </c>
      <c r="G89">
        <f t="shared" si="1"/>
        <v>0.2</v>
      </c>
      <c r="H89">
        <f t="shared" si="2"/>
        <v>-0.1823215567939547</v>
      </c>
      <c r="I89">
        <f t="shared" si="3"/>
        <v>-3.3333333333333354E-2</v>
      </c>
      <c r="J89">
        <f t="shared" si="4"/>
        <v>6.0773852264651602E-3</v>
      </c>
    </row>
    <row r="90" spans="1:12" x14ac:dyDescent="0.3">
      <c r="A90" t="s">
        <v>226</v>
      </c>
      <c r="B90" t="s">
        <v>143</v>
      </c>
      <c r="C90" t="s">
        <v>481</v>
      </c>
      <c r="D90">
        <v>1</v>
      </c>
      <c r="E90">
        <v>4</v>
      </c>
      <c r="F90">
        <f t="shared" si="5"/>
        <v>0.16666666666666666</v>
      </c>
      <c r="G90">
        <f t="shared" si="1"/>
        <v>0.4</v>
      </c>
      <c r="H90">
        <f t="shared" si="2"/>
        <v>-0.87546873735390007</v>
      </c>
      <c r="I90">
        <f t="shared" si="3"/>
        <v>-0.23333333333333336</v>
      </c>
      <c r="J90">
        <f t="shared" si="4"/>
        <v>0.20427603871591005</v>
      </c>
      <c r="K90">
        <f>J90+J91+J92+J93</f>
        <v>0.63168466488104291</v>
      </c>
    </row>
    <row r="91" spans="1:12" x14ac:dyDescent="0.3">
      <c r="C91" t="s">
        <v>480</v>
      </c>
      <c r="D91">
        <v>2</v>
      </c>
      <c r="E91">
        <v>1</v>
      </c>
      <c r="F91">
        <f t="shared" si="5"/>
        <v>0.33333333333333331</v>
      </c>
      <c r="G91">
        <f t="shared" si="1"/>
        <v>0.1</v>
      </c>
      <c r="H91">
        <f t="shared" si="2"/>
        <v>1.2039728043259359</v>
      </c>
      <c r="I91">
        <f t="shared" si="3"/>
        <v>0.23333333333333331</v>
      </c>
      <c r="J91">
        <f t="shared" si="4"/>
        <v>0.28092698767605168</v>
      </c>
    </row>
    <row r="92" spans="1:12" x14ac:dyDescent="0.3">
      <c r="C92" t="s">
        <v>491</v>
      </c>
      <c r="D92">
        <v>2</v>
      </c>
      <c r="E92">
        <v>2</v>
      </c>
      <c r="F92">
        <f t="shared" si="5"/>
        <v>0.33333333333333331</v>
      </c>
      <c r="G92">
        <f t="shared" si="1"/>
        <v>0.2</v>
      </c>
      <c r="H92">
        <f t="shared" si="2"/>
        <v>0.51082562376599061</v>
      </c>
      <c r="I92">
        <f t="shared" si="3"/>
        <v>0.1333333333333333</v>
      </c>
      <c r="J92">
        <f t="shared" si="4"/>
        <v>6.8110083168798727E-2</v>
      </c>
    </row>
    <row r="93" spans="1:12" x14ac:dyDescent="0.3">
      <c r="C93" t="s">
        <v>492</v>
      </c>
      <c r="D93">
        <v>1</v>
      </c>
      <c r="E93">
        <v>3</v>
      </c>
      <c r="F93">
        <f t="shared" si="5"/>
        <v>0.16666666666666666</v>
      </c>
      <c r="G93">
        <f t="shared" si="1"/>
        <v>0.3</v>
      </c>
      <c r="H93">
        <f t="shared" si="2"/>
        <v>-0.58778666490211895</v>
      </c>
      <c r="I93">
        <f t="shared" si="3"/>
        <v>-0.13333333333333333</v>
      </c>
      <c r="J93">
        <f t="shared" si="4"/>
        <v>7.8371555320282532E-2</v>
      </c>
    </row>
    <row r="94" spans="1:12" x14ac:dyDescent="0.3">
      <c r="A94" t="s">
        <v>227</v>
      </c>
      <c r="B94" t="s">
        <v>144</v>
      </c>
      <c r="C94" t="s">
        <v>481</v>
      </c>
      <c r="D94">
        <v>2</v>
      </c>
      <c r="E94">
        <v>1</v>
      </c>
      <c r="F94">
        <f t="shared" si="5"/>
        <v>0.33333333333333331</v>
      </c>
      <c r="G94">
        <f t="shared" si="1"/>
        <v>0.1</v>
      </c>
      <c r="H94">
        <f t="shared" si="2"/>
        <v>1.2039728043259359</v>
      </c>
      <c r="I94">
        <f t="shared" si="3"/>
        <v>0.23333333333333331</v>
      </c>
      <c r="J94">
        <f t="shared" si="4"/>
        <v>0.28092698767605168</v>
      </c>
      <c r="K94">
        <f>J94+J95+J96+J97</f>
        <v>0.63168466488104302</v>
      </c>
    </row>
    <row r="95" spans="1:12" x14ac:dyDescent="0.3">
      <c r="C95" t="s">
        <v>480</v>
      </c>
      <c r="D95">
        <v>1</v>
      </c>
      <c r="E95">
        <v>3</v>
      </c>
      <c r="F95">
        <f t="shared" si="5"/>
        <v>0.16666666666666666</v>
      </c>
      <c r="G95">
        <f t="shared" si="1"/>
        <v>0.3</v>
      </c>
      <c r="H95">
        <f t="shared" si="2"/>
        <v>-0.58778666490211895</v>
      </c>
      <c r="I95">
        <f t="shared" si="3"/>
        <v>-0.13333333333333333</v>
      </c>
      <c r="J95">
        <f t="shared" si="4"/>
        <v>7.8371555320282532E-2</v>
      </c>
    </row>
    <row r="96" spans="1:12" x14ac:dyDescent="0.3">
      <c r="C96" t="s">
        <v>491</v>
      </c>
      <c r="D96">
        <v>2</v>
      </c>
      <c r="E96">
        <v>2</v>
      </c>
      <c r="F96">
        <f t="shared" si="5"/>
        <v>0.33333333333333331</v>
      </c>
      <c r="G96">
        <f t="shared" si="1"/>
        <v>0.2</v>
      </c>
      <c r="H96">
        <f t="shared" si="2"/>
        <v>0.51082562376599061</v>
      </c>
      <c r="I96">
        <f t="shared" si="3"/>
        <v>0.1333333333333333</v>
      </c>
      <c r="J96">
        <f t="shared" si="4"/>
        <v>6.8110083168798727E-2</v>
      </c>
    </row>
    <row r="97" spans="1:12" x14ac:dyDescent="0.3">
      <c r="C97" t="s">
        <v>492</v>
      </c>
      <c r="D97">
        <v>1</v>
      </c>
      <c r="E97">
        <v>4</v>
      </c>
      <c r="F97">
        <f t="shared" si="5"/>
        <v>0.16666666666666666</v>
      </c>
      <c r="G97">
        <f t="shared" si="1"/>
        <v>0.4</v>
      </c>
      <c r="H97">
        <f t="shared" si="2"/>
        <v>-0.87546873735390007</v>
      </c>
      <c r="I97">
        <f t="shared" si="3"/>
        <v>-0.23333333333333336</v>
      </c>
      <c r="J97">
        <f t="shared" si="4"/>
        <v>0.20427603871591005</v>
      </c>
    </row>
    <row r="98" spans="1:12" x14ac:dyDescent="0.3">
      <c r="A98" t="s">
        <v>228</v>
      </c>
      <c r="B98" t="s">
        <v>145</v>
      </c>
      <c r="C98" t="s">
        <v>481</v>
      </c>
      <c r="D98">
        <v>2</v>
      </c>
      <c r="E98">
        <v>2</v>
      </c>
      <c r="F98">
        <f t="shared" si="5"/>
        <v>0.33333333333333331</v>
      </c>
      <c r="G98">
        <f t="shared" si="1"/>
        <v>0.2</v>
      </c>
      <c r="H98">
        <f t="shared" si="2"/>
        <v>0.51082562376599061</v>
      </c>
      <c r="I98">
        <f t="shared" si="3"/>
        <v>0.1333333333333333</v>
      </c>
      <c r="J98">
        <f t="shared" si="4"/>
        <v>6.8110083168798727E-2</v>
      </c>
      <c r="K98">
        <f>J98+J99+J100</f>
        <v>0.62108076391228872</v>
      </c>
    </row>
    <row r="99" spans="1:12" x14ac:dyDescent="0.3">
      <c r="C99" t="s">
        <v>480</v>
      </c>
      <c r="D99">
        <v>2</v>
      </c>
      <c r="E99">
        <v>1</v>
      </c>
      <c r="F99">
        <f t="shared" si="5"/>
        <v>0.33333333333333331</v>
      </c>
      <c r="G99">
        <f t="shared" si="1"/>
        <v>0.1</v>
      </c>
      <c r="H99">
        <f t="shared" si="2"/>
        <v>1.2039728043259359</v>
      </c>
      <c r="I99">
        <f t="shared" si="3"/>
        <v>0.23333333333333331</v>
      </c>
      <c r="J99">
        <f t="shared" si="4"/>
        <v>0.28092698767605168</v>
      </c>
    </row>
    <row r="100" spans="1:12" x14ac:dyDescent="0.3">
      <c r="C100" t="s">
        <v>488</v>
      </c>
      <c r="D100">
        <v>2</v>
      </c>
      <c r="E100">
        <v>7</v>
      </c>
      <c r="F100">
        <f t="shared" si="5"/>
        <v>0.33333333333333331</v>
      </c>
      <c r="G100">
        <f t="shared" si="1"/>
        <v>0.7</v>
      </c>
      <c r="H100">
        <f t="shared" si="2"/>
        <v>-0.74193734472937722</v>
      </c>
      <c r="I100">
        <f t="shared" si="3"/>
        <v>-0.36666666666666664</v>
      </c>
      <c r="J100">
        <f t="shared" si="4"/>
        <v>0.27204369306743831</v>
      </c>
    </row>
    <row r="101" spans="1:12" x14ac:dyDescent="0.3">
      <c r="A101" t="s">
        <v>229</v>
      </c>
      <c r="B101" t="s">
        <v>146</v>
      </c>
      <c r="C101" t="s">
        <v>481</v>
      </c>
      <c r="D101">
        <v>1</v>
      </c>
      <c r="E101">
        <v>2</v>
      </c>
      <c r="F101">
        <f t="shared" si="5"/>
        <v>0.16666666666666666</v>
      </c>
      <c r="G101">
        <f t="shared" si="1"/>
        <v>0.2</v>
      </c>
      <c r="H101">
        <f t="shared" si="2"/>
        <v>-0.1823215567939547</v>
      </c>
      <c r="I101">
        <f t="shared" si="3"/>
        <v>-3.3333333333333354E-2</v>
      </c>
      <c r="J101">
        <f t="shared" si="4"/>
        <v>6.0773852264651602E-3</v>
      </c>
      <c r="K101">
        <f>J101+J102+J103+J104</f>
        <v>0.15607104090414062</v>
      </c>
      <c r="L101" t="s">
        <v>501</v>
      </c>
    </row>
    <row r="102" spans="1:12" x14ac:dyDescent="0.3">
      <c r="C102" t="s">
        <v>480</v>
      </c>
      <c r="D102">
        <v>2</v>
      </c>
      <c r="E102">
        <v>2</v>
      </c>
      <c r="F102">
        <f t="shared" si="5"/>
        <v>0.33333333333333331</v>
      </c>
      <c r="G102">
        <f t="shared" si="1"/>
        <v>0.2</v>
      </c>
      <c r="H102">
        <f t="shared" si="2"/>
        <v>0.51082562376599061</v>
      </c>
      <c r="I102">
        <f t="shared" si="3"/>
        <v>0.1333333333333333</v>
      </c>
      <c r="J102">
        <f t="shared" si="4"/>
        <v>6.8110083168798727E-2</v>
      </c>
    </row>
    <row r="103" spans="1:12" x14ac:dyDescent="0.3">
      <c r="C103" t="s">
        <v>491</v>
      </c>
      <c r="D103">
        <v>1</v>
      </c>
      <c r="E103">
        <v>3</v>
      </c>
      <c r="F103">
        <f t="shared" si="5"/>
        <v>0.16666666666666666</v>
      </c>
      <c r="G103">
        <f t="shared" si="1"/>
        <v>0.3</v>
      </c>
      <c r="H103">
        <f t="shared" si="2"/>
        <v>-0.58778666490211895</v>
      </c>
      <c r="I103">
        <f t="shared" si="3"/>
        <v>-0.13333333333333333</v>
      </c>
      <c r="J103">
        <f t="shared" si="4"/>
        <v>7.8371555320282532E-2</v>
      </c>
    </row>
    <row r="104" spans="1:12" x14ac:dyDescent="0.3">
      <c r="C104" t="s">
        <v>492</v>
      </c>
      <c r="D104">
        <v>2</v>
      </c>
      <c r="E104">
        <v>3</v>
      </c>
      <c r="F104">
        <f t="shared" si="5"/>
        <v>0.33333333333333331</v>
      </c>
      <c r="G104">
        <f t="shared" si="1"/>
        <v>0.3</v>
      </c>
      <c r="H104">
        <f t="shared" si="2"/>
        <v>0.10536051565782635</v>
      </c>
      <c r="I104">
        <f t="shared" si="3"/>
        <v>3.3333333333333326E-2</v>
      </c>
      <c r="J104">
        <f t="shared" si="4"/>
        <v>3.5120171885942111E-3</v>
      </c>
    </row>
    <row r="105" spans="1:12" x14ac:dyDescent="0.3">
      <c r="A105" t="s">
        <v>230</v>
      </c>
      <c r="B105" t="s">
        <v>150</v>
      </c>
      <c r="C105" t="s">
        <v>481</v>
      </c>
      <c r="D105">
        <v>1</v>
      </c>
      <c r="E105">
        <v>3</v>
      </c>
      <c r="F105">
        <f t="shared" si="5"/>
        <v>0.16666666666666666</v>
      </c>
      <c r="G105">
        <f t="shared" si="1"/>
        <v>0.3</v>
      </c>
      <c r="H105">
        <f t="shared" si="2"/>
        <v>-0.58778666490211895</v>
      </c>
      <c r="I105">
        <f t="shared" si="3"/>
        <v>-0.13333333333333333</v>
      </c>
      <c r="J105">
        <f t="shared" si="4"/>
        <v>7.8371555320282532E-2</v>
      </c>
      <c r="K105">
        <f>J105+J106+J107+J108</f>
        <v>0.19269145052641096</v>
      </c>
      <c r="L105" t="s">
        <v>501</v>
      </c>
    </row>
    <row r="106" spans="1:12" x14ac:dyDescent="0.3">
      <c r="C106" t="s">
        <v>480</v>
      </c>
      <c r="D106">
        <v>1</v>
      </c>
      <c r="E106">
        <v>1</v>
      </c>
      <c r="F106">
        <f t="shared" si="5"/>
        <v>0.16666666666666666</v>
      </c>
      <c r="G106">
        <f t="shared" si="1"/>
        <v>0.1</v>
      </c>
      <c r="H106">
        <f t="shared" si="2"/>
        <v>0.51082562376599061</v>
      </c>
      <c r="I106">
        <f t="shared" si="3"/>
        <v>6.6666666666666652E-2</v>
      </c>
      <c r="J106">
        <f t="shared" si="4"/>
        <v>3.4055041584399363E-2</v>
      </c>
    </row>
    <row r="107" spans="1:12" x14ac:dyDescent="0.3">
      <c r="C107" t="s">
        <v>491</v>
      </c>
      <c r="D107">
        <v>2</v>
      </c>
      <c r="E107">
        <v>4</v>
      </c>
      <c r="F107">
        <f t="shared" si="5"/>
        <v>0.33333333333333331</v>
      </c>
      <c r="G107">
        <f t="shared" si="1"/>
        <v>0.4</v>
      </c>
      <c r="H107">
        <f t="shared" si="2"/>
        <v>-0.1823215567939547</v>
      </c>
      <c r="I107">
        <f t="shared" si="3"/>
        <v>-6.6666666666666707E-2</v>
      </c>
      <c r="J107">
        <f t="shared" si="4"/>
        <v>1.215477045293032E-2</v>
      </c>
    </row>
    <row r="108" spans="1:12" x14ac:dyDescent="0.3">
      <c r="C108" t="s">
        <v>492</v>
      </c>
      <c r="D108">
        <v>2</v>
      </c>
      <c r="E108">
        <v>2</v>
      </c>
      <c r="F108">
        <f t="shared" si="5"/>
        <v>0.33333333333333331</v>
      </c>
      <c r="G108">
        <f t="shared" si="1"/>
        <v>0.2</v>
      </c>
      <c r="H108">
        <f t="shared" si="2"/>
        <v>0.51082562376599061</v>
      </c>
      <c r="I108">
        <f t="shared" si="3"/>
        <v>0.1333333333333333</v>
      </c>
      <c r="J108">
        <f t="shared" si="4"/>
        <v>6.8110083168798727E-2</v>
      </c>
    </row>
    <row r="109" spans="1:12" x14ac:dyDescent="0.3">
      <c r="A109" t="s">
        <v>231</v>
      </c>
      <c r="B109" t="s">
        <v>154</v>
      </c>
      <c r="C109" t="s">
        <v>481</v>
      </c>
      <c r="D109">
        <v>2</v>
      </c>
      <c r="E109">
        <v>3</v>
      </c>
      <c r="F109">
        <f t="shared" si="5"/>
        <v>0.33333333333333331</v>
      </c>
      <c r="G109">
        <f t="shared" si="1"/>
        <v>0.3</v>
      </c>
      <c r="H109">
        <f t="shared" si="2"/>
        <v>0.10536051565782635</v>
      </c>
      <c r="I109">
        <f t="shared" si="3"/>
        <v>3.3333333333333326E-2</v>
      </c>
      <c r="J109">
        <f t="shared" si="4"/>
        <v>3.5120171885942111E-3</v>
      </c>
      <c r="K109">
        <f>J109+J110+J111</f>
        <v>0.13919961837542036</v>
      </c>
      <c r="L109" t="s">
        <v>501</v>
      </c>
    </row>
    <row r="110" spans="1:12" x14ac:dyDescent="0.3">
      <c r="C110" t="s">
        <v>480</v>
      </c>
      <c r="D110">
        <v>2</v>
      </c>
      <c r="E110">
        <v>2</v>
      </c>
      <c r="F110">
        <f t="shared" si="5"/>
        <v>0.33333333333333331</v>
      </c>
      <c r="G110">
        <f t="shared" si="1"/>
        <v>0.2</v>
      </c>
      <c r="H110">
        <f t="shared" si="2"/>
        <v>0.51082562376599061</v>
      </c>
      <c r="I110">
        <f t="shared" si="3"/>
        <v>0.1333333333333333</v>
      </c>
      <c r="J110">
        <f t="shared" si="4"/>
        <v>6.8110083168798727E-2</v>
      </c>
    </row>
    <row r="111" spans="1:12" x14ac:dyDescent="0.3">
      <c r="C111" t="s">
        <v>488</v>
      </c>
      <c r="D111">
        <v>2</v>
      </c>
      <c r="E111">
        <v>5</v>
      </c>
      <c r="F111">
        <f t="shared" si="5"/>
        <v>0.33333333333333331</v>
      </c>
      <c r="G111">
        <f t="shared" si="1"/>
        <v>0.5</v>
      </c>
      <c r="H111">
        <f t="shared" si="2"/>
        <v>-0.40546510810816444</v>
      </c>
      <c r="I111">
        <f t="shared" si="3"/>
        <v>-0.16666666666666669</v>
      </c>
      <c r="J111">
        <f t="shared" si="4"/>
        <v>6.7577518018027416E-2</v>
      </c>
    </row>
    <row r="112" spans="1:12" x14ac:dyDescent="0.3">
      <c r="A112" t="s">
        <v>232</v>
      </c>
      <c r="B112" t="s">
        <v>156</v>
      </c>
      <c r="C112" t="s">
        <v>481</v>
      </c>
      <c r="D112">
        <v>1</v>
      </c>
      <c r="E112">
        <v>5</v>
      </c>
      <c r="F112">
        <f t="shared" si="5"/>
        <v>0.16666666666666666</v>
      </c>
      <c r="G112">
        <f t="shared" si="1"/>
        <v>0.5</v>
      </c>
      <c r="H112">
        <f t="shared" si="2"/>
        <v>-1.0986122886681098</v>
      </c>
      <c r="I112">
        <f t="shared" si="3"/>
        <v>-0.33333333333333337</v>
      </c>
      <c r="J112">
        <f t="shared" si="4"/>
        <v>0.36620409622270328</v>
      </c>
      <c r="K112">
        <f>J112+J113+J114</f>
        <v>1.0064296268950892</v>
      </c>
    </row>
    <row r="113" spans="1:12" x14ac:dyDescent="0.3">
      <c r="C113" t="s">
        <v>493</v>
      </c>
      <c r="D113">
        <v>4</v>
      </c>
      <c r="E113">
        <v>2</v>
      </c>
      <c r="F113">
        <f t="shared" si="5"/>
        <v>0.66666666666666663</v>
      </c>
      <c r="G113">
        <f t="shared" si="1"/>
        <v>0.2</v>
      </c>
      <c r="H113">
        <f t="shared" si="2"/>
        <v>1.2039728043259359</v>
      </c>
      <c r="I113">
        <f t="shared" si="3"/>
        <v>0.46666666666666662</v>
      </c>
      <c r="J113">
        <f t="shared" si="4"/>
        <v>0.56185397535210335</v>
      </c>
    </row>
    <row r="114" spans="1:12" x14ac:dyDescent="0.3">
      <c r="C114" t="s">
        <v>492</v>
      </c>
      <c r="D114">
        <v>1</v>
      </c>
      <c r="E114">
        <v>3</v>
      </c>
      <c r="F114">
        <f t="shared" si="5"/>
        <v>0.16666666666666666</v>
      </c>
      <c r="G114">
        <f t="shared" si="1"/>
        <v>0.3</v>
      </c>
      <c r="H114">
        <f t="shared" si="2"/>
        <v>-0.58778666490211895</v>
      </c>
      <c r="I114">
        <f t="shared" si="3"/>
        <v>-0.13333333333333333</v>
      </c>
      <c r="J114">
        <f t="shared" si="4"/>
        <v>7.8371555320282532E-2</v>
      </c>
    </row>
    <row r="115" spans="1:12" x14ac:dyDescent="0.3">
      <c r="A115" t="s">
        <v>233</v>
      </c>
      <c r="B115" t="s">
        <v>157</v>
      </c>
      <c r="C115" t="s">
        <v>481</v>
      </c>
      <c r="D115">
        <v>2</v>
      </c>
      <c r="E115">
        <v>3</v>
      </c>
      <c r="F115">
        <f t="shared" si="5"/>
        <v>0.33333333333333331</v>
      </c>
      <c r="G115">
        <f t="shared" si="1"/>
        <v>0.3</v>
      </c>
      <c r="H115">
        <f t="shared" si="2"/>
        <v>0.10536051565782635</v>
      </c>
      <c r="I115">
        <f t="shared" si="3"/>
        <v>3.3333333333333326E-2</v>
      </c>
      <c r="J115">
        <f t="shared" si="4"/>
        <v>3.5120171885942111E-3</v>
      </c>
      <c r="K115">
        <f>J115+J116+J117+J118</f>
        <v>0.15607104090414065</v>
      </c>
      <c r="L115" t="s">
        <v>501</v>
      </c>
    </row>
    <row r="116" spans="1:12" x14ac:dyDescent="0.3">
      <c r="C116" t="s">
        <v>480</v>
      </c>
      <c r="D116">
        <v>2</v>
      </c>
      <c r="E116">
        <v>2</v>
      </c>
      <c r="F116">
        <f t="shared" si="5"/>
        <v>0.33333333333333331</v>
      </c>
      <c r="G116">
        <f t="shared" si="1"/>
        <v>0.2</v>
      </c>
      <c r="H116">
        <f t="shared" si="2"/>
        <v>0.51082562376599061</v>
      </c>
      <c r="I116">
        <f t="shared" si="3"/>
        <v>0.1333333333333333</v>
      </c>
      <c r="J116">
        <f t="shared" si="4"/>
        <v>6.8110083168798727E-2</v>
      </c>
    </row>
    <row r="117" spans="1:12" x14ac:dyDescent="0.3">
      <c r="C117" t="s">
        <v>491</v>
      </c>
      <c r="D117">
        <v>1</v>
      </c>
      <c r="E117">
        <v>3</v>
      </c>
      <c r="F117">
        <f t="shared" si="5"/>
        <v>0.16666666666666666</v>
      </c>
      <c r="G117">
        <f t="shared" si="1"/>
        <v>0.3</v>
      </c>
      <c r="H117">
        <f t="shared" si="2"/>
        <v>-0.58778666490211895</v>
      </c>
      <c r="I117">
        <f t="shared" si="3"/>
        <v>-0.13333333333333333</v>
      </c>
      <c r="J117">
        <f t="shared" si="4"/>
        <v>7.8371555320282532E-2</v>
      </c>
    </row>
    <row r="118" spans="1:12" x14ac:dyDescent="0.3">
      <c r="C118" t="s">
        <v>492</v>
      </c>
      <c r="D118">
        <v>1</v>
      </c>
      <c r="E118">
        <v>2</v>
      </c>
      <c r="F118">
        <f t="shared" si="5"/>
        <v>0.16666666666666666</v>
      </c>
      <c r="G118">
        <f t="shared" si="1"/>
        <v>0.2</v>
      </c>
      <c r="H118">
        <f t="shared" si="2"/>
        <v>-0.1823215567939547</v>
      </c>
      <c r="I118">
        <f t="shared" si="3"/>
        <v>-3.3333333333333354E-2</v>
      </c>
      <c r="J118">
        <f t="shared" si="4"/>
        <v>6.0773852264651602E-3</v>
      </c>
    </row>
    <row r="119" spans="1:12" x14ac:dyDescent="0.3">
      <c r="A119" t="s">
        <v>234</v>
      </c>
      <c r="B119" t="s">
        <v>158</v>
      </c>
      <c r="C119" t="s">
        <v>481</v>
      </c>
      <c r="D119">
        <v>3</v>
      </c>
      <c r="E119">
        <v>2</v>
      </c>
      <c r="F119">
        <f t="shared" si="5"/>
        <v>0.5</v>
      </c>
      <c r="G119">
        <f t="shared" si="1"/>
        <v>0.2</v>
      </c>
      <c r="H119">
        <f t="shared" si="2"/>
        <v>0.91629073187415511</v>
      </c>
      <c r="I119">
        <f t="shared" si="3"/>
        <v>0.3</v>
      </c>
      <c r="J119">
        <f t="shared" si="4"/>
        <v>0.27488721956224654</v>
      </c>
      <c r="K119">
        <f>J119+J120+J121</f>
        <v>0.89806863576460638</v>
      </c>
    </row>
    <row r="120" spans="1:12" x14ac:dyDescent="0.3">
      <c r="C120" t="s">
        <v>480</v>
      </c>
      <c r="D120">
        <v>2</v>
      </c>
      <c r="E120">
        <v>2</v>
      </c>
      <c r="F120">
        <f t="shared" si="5"/>
        <v>0.33333333333333331</v>
      </c>
      <c r="G120">
        <f t="shared" si="1"/>
        <v>0.2</v>
      </c>
      <c r="H120">
        <f t="shared" si="2"/>
        <v>0.51082562376599061</v>
      </c>
      <c r="I120">
        <f t="shared" si="3"/>
        <v>0.1333333333333333</v>
      </c>
      <c r="J120">
        <f t="shared" si="4"/>
        <v>6.8110083168798727E-2</v>
      </c>
    </row>
    <row r="121" spans="1:12" x14ac:dyDescent="0.3">
      <c r="C121" t="s">
        <v>488</v>
      </c>
      <c r="D121">
        <v>1</v>
      </c>
      <c r="E121">
        <v>6</v>
      </c>
      <c r="F121">
        <f t="shared" si="5"/>
        <v>0.16666666666666666</v>
      </c>
      <c r="G121">
        <f t="shared" si="1"/>
        <v>0.6</v>
      </c>
      <c r="H121">
        <f t="shared" si="2"/>
        <v>-1.2809338454620642</v>
      </c>
      <c r="I121">
        <f t="shared" si="3"/>
        <v>-0.43333333333333335</v>
      </c>
      <c r="J121">
        <f t="shared" si="4"/>
        <v>0.55507133303356115</v>
      </c>
    </row>
    <row r="122" spans="1:12" x14ac:dyDescent="0.3">
      <c r="A122" t="s">
        <v>235</v>
      </c>
      <c r="B122" t="s">
        <v>159</v>
      </c>
      <c r="C122" t="s">
        <v>481</v>
      </c>
      <c r="D122">
        <v>3</v>
      </c>
      <c r="E122">
        <v>2</v>
      </c>
      <c r="F122">
        <f t="shared" si="5"/>
        <v>0.5</v>
      </c>
      <c r="G122">
        <f t="shared" si="1"/>
        <v>0.2</v>
      </c>
      <c r="H122">
        <f t="shared" si="2"/>
        <v>0.91629073187415511</v>
      </c>
      <c r="I122">
        <f t="shared" si="3"/>
        <v>0.3</v>
      </c>
      <c r="J122">
        <f t="shared" si="4"/>
        <v>0.27488721956224654</v>
      </c>
      <c r="K122">
        <f>J122+J123+J124</f>
        <v>0.89806863576460638</v>
      </c>
    </row>
    <row r="123" spans="1:12" x14ac:dyDescent="0.3">
      <c r="C123" t="s">
        <v>480</v>
      </c>
      <c r="D123">
        <v>2</v>
      </c>
      <c r="E123">
        <v>2</v>
      </c>
      <c r="F123">
        <f t="shared" si="5"/>
        <v>0.33333333333333331</v>
      </c>
      <c r="G123">
        <f t="shared" si="1"/>
        <v>0.2</v>
      </c>
      <c r="H123">
        <f t="shared" si="2"/>
        <v>0.51082562376599061</v>
      </c>
      <c r="I123">
        <f t="shared" si="3"/>
        <v>0.1333333333333333</v>
      </c>
      <c r="J123">
        <f t="shared" si="4"/>
        <v>6.8110083168798727E-2</v>
      </c>
    </row>
    <row r="124" spans="1:12" x14ac:dyDescent="0.3">
      <c r="C124" t="s">
        <v>488</v>
      </c>
      <c r="D124">
        <v>1</v>
      </c>
      <c r="E124">
        <v>6</v>
      </c>
      <c r="F124">
        <f t="shared" si="5"/>
        <v>0.16666666666666666</v>
      </c>
      <c r="G124">
        <f t="shared" si="1"/>
        <v>0.6</v>
      </c>
      <c r="H124">
        <f t="shared" si="2"/>
        <v>-1.2809338454620642</v>
      </c>
      <c r="I124">
        <f t="shared" si="3"/>
        <v>-0.43333333333333335</v>
      </c>
      <c r="J124">
        <f t="shared" si="4"/>
        <v>0.55507133303356115</v>
      </c>
    </row>
    <row r="125" spans="1:12" x14ac:dyDescent="0.3">
      <c r="A125" t="s">
        <v>236</v>
      </c>
      <c r="B125" t="s">
        <v>160</v>
      </c>
      <c r="C125" t="s">
        <v>481</v>
      </c>
      <c r="D125">
        <v>3</v>
      </c>
      <c r="E125">
        <v>2</v>
      </c>
      <c r="F125">
        <f t="shared" si="5"/>
        <v>0.5</v>
      </c>
      <c r="G125">
        <f t="shared" si="1"/>
        <v>0.2</v>
      </c>
      <c r="H125">
        <f t="shared" si="2"/>
        <v>0.91629073187415511</v>
      </c>
      <c r="I125">
        <f t="shared" si="3"/>
        <v>0.3</v>
      </c>
      <c r="J125">
        <f t="shared" si="4"/>
        <v>0.27488721956224654</v>
      </c>
      <c r="K125">
        <f>J125+J126+J127</f>
        <v>0.89806863576460638</v>
      </c>
    </row>
    <row r="126" spans="1:12" x14ac:dyDescent="0.3">
      <c r="C126" t="s">
        <v>480</v>
      </c>
      <c r="D126">
        <v>2</v>
      </c>
      <c r="E126">
        <v>2</v>
      </c>
      <c r="F126">
        <f t="shared" si="5"/>
        <v>0.33333333333333331</v>
      </c>
      <c r="G126">
        <f t="shared" si="1"/>
        <v>0.2</v>
      </c>
      <c r="H126">
        <f t="shared" si="2"/>
        <v>0.51082562376599061</v>
      </c>
      <c r="I126">
        <f t="shared" si="3"/>
        <v>0.1333333333333333</v>
      </c>
      <c r="J126">
        <f t="shared" si="4"/>
        <v>6.8110083168798727E-2</v>
      </c>
    </row>
    <row r="127" spans="1:12" x14ac:dyDescent="0.3">
      <c r="C127" t="s">
        <v>488</v>
      </c>
      <c r="D127">
        <v>1</v>
      </c>
      <c r="E127">
        <v>6</v>
      </c>
      <c r="F127">
        <f t="shared" si="5"/>
        <v>0.16666666666666666</v>
      </c>
      <c r="G127">
        <f t="shared" si="1"/>
        <v>0.6</v>
      </c>
      <c r="H127">
        <f t="shared" si="2"/>
        <v>-1.2809338454620642</v>
      </c>
      <c r="I127">
        <f t="shared" si="3"/>
        <v>-0.43333333333333335</v>
      </c>
      <c r="J127">
        <f t="shared" si="4"/>
        <v>0.55507133303356115</v>
      </c>
    </row>
    <row r="128" spans="1:12" x14ac:dyDescent="0.3">
      <c r="A128" t="s">
        <v>237</v>
      </c>
      <c r="B128" t="s">
        <v>161</v>
      </c>
      <c r="C128" t="s">
        <v>481</v>
      </c>
      <c r="D128">
        <v>2</v>
      </c>
      <c r="E128">
        <v>2</v>
      </c>
      <c r="F128">
        <f t="shared" si="5"/>
        <v>0.33333333333333331</v>
      </c>
      <c r="G128">
        <f t="shared" si="1"/>
        <v>0.2</v>
      </c>
      <c r="H128">
        <f t="shared" si="2"/>
        <v>0.51082562376599061</v>
      </c>
      <c r="I128">
        <f t="shared" si="3"/>
        <v>0.1333333333333333</v>
      </c>
      <c r="J128">
        <f t="shared" si="4"/>
        <v>6.8110083168798727E-2</v>
      </c>
      <c r="K128">
        <f>J128+J129+J130+J131</f>
        <v>0.15607104090414062</v>
      </c>
      <c r="L128" t="s">
        <v>501</v>
      </c>
    </row>
    <row r="129" spans="1:12" x14ac:dyDescent="0.3">
      <c r="C129" t="s">
        <v>480</v>
      </c>
      <c r="D129">
        <v>1</v>
      </c>
      <c r="E129">
        <v>3</v>
      </c>
      <c r="F129">
        <f t="shared" si="5"/>
        <v>0.16666666666666666</v>
      </c>
      <c r="G129">
        <f t="shared" si="1"/>
        <v>0.3</v>
      </c>
      <c r="H129">
        <f t="shared" si="2"/>
        <v>-0.58778666490211895</v>
      </c>
      <c r="I129">
        <f t="shared" si="3"/>
        <v>-0.13333333333333333</v>
      </c>
      <c r="J129">
        <f t="shared" si="4"/>
        <v>7.8371555320282532E-2</v>
      </c>
    </row>
    <row r="130" spans="1:12" x14ac:dyDescent="0.3">
      <c r="C130" t="s">
        <v>491</v>
      </c>
      <c r="D130">
        <v>1</v>
      </c>
      <c r="E130">
        <v>2</v>
      </c>
      <c r="F130">
        <f t="shared" si="5"/>
        <v>0.16666666666666666</v>
      </c>
      <c r="G130">
        <f t="shared" si="1"/>
        <v>0.2</v>
      </c>
      <c r="H130">
        <f t="shared" si="2"/>
        <v>-0.1823215567939547</v>
      </c>
      <c r="I130">
        <f t="shared" si="3"/>
        <v>-3.3333333333333354E-2</v>
      </c>
      <c r="J130">
        <f t="shared" si="4"/>
        <v>6.0773852264651602E-3</v>
      </c>
    </row>
    <row r="131" spans="1:12" x14ac:dyDescent="0.3">
      <c r="C131" t="s">
        <v>492</v>
      </c>
      <c r="D131">
        <v>2</v>
      </c>
      <c r="E131">
        <v>3</v>
      </c>
      <c r="F131">
        <f t="shared" si="5"/>
        <v>0.33333333333333331</v>
      </c>
      <c r="G131">
        <f t="shared" si="1"/>
        <v>0.3</v>
      </c>
      <c r="H131">
        <f t="shared" si="2"/>
        <v>0.10536051565782635</v>
      </c>
      <c r="I131">
        <f t="shared" si="3"/>
        <v>3.3333333333333326E-2</v>
      </c>
      <c r="J131">
        <f t="shared" si="4"/>
        <v>3.5120171885942111E-3</v>
      </c>
    </row>
    <row r="132" spans="1:12" x14ac:dyDescent="0.3">
      <c r="A132" t="s">
        <v>238</v>
      </c>
      <c r="B132" t="s">
        <v>162</v>
      </c>
      <c r="C132" t="s">
        <v>481</v>
      </c>
      <c r="D132">
        <v>3</v>
      </c>
      <c r="E132">
        <v>2</v>
      </c>
      <c r="F132">
        <f t="shared" si="5"/>
        <v>0.5</v>
      </c>
      <c r="G132">
        <f t="shared" si="1"/>
        <v>0.2</v>
      </c>
      <c r="H132">
        <f t="shared" si="2"/>
        <v>0.91629073187415511</v>
      </c>
      <c r="I132">
        <f t="shared" si="3"/>
        <v>0.3</v>
      </c>
      <c r="J132">
        <f t="shared" si="4"/>
        <v>0.27488721956224654</v>
      </c>
      <c r="K132">
        <f>J132+J133+J134</f>
        <v>0.89806863576460638</v>
      </c>
    </row>
    <row r="133" spans="1:12" x14ac:dyDescent="0.3">
      <c r="C133" t="s">
        <v>480</v>
      </c>
      <c r="D133">
        <v>2</v>
      </c>
      <c r="E133">
        <v>2</v>
      </c>
      <c r="F133">
        <f t="shared" si="5"/>
        <v>0.33333333333333331</v>
      </c>
      <c r="G133">
        <f t="shared" si="1"/>
        <v>0.2</v>
      </c>
      <c r="H133">
        <f t="shared" si="2"/>
        <v>0.51082562376599061</v>
      </c>
      <c r="I133">
        <f t="shared" si="3"/>
        <v>0.1333333333333333</v>
      </c>
      <c r="J133">
        <f t="shared" si="4"/>
        <v>6.8110083168798727E-2</v>
      </c>
    </row>
    <row r="134" spans="1:12" x14ac:dyDescent="0.3">
      <c r="C134" t="s">
        <v>488</v>
      </c>
      <c r="D134">
        <v>1</v>
      </c>
      <c r="E134">
        <v>6</v>
      </c>
      <c r="F134">
        <f t="shared" si="5"/>
        <v>0.16666666666666666</v>
      </c>
      <c r="G134">
        <f t="shared" si="1"/>
        <v>0.6</v>
      </c>
      <c r="H134">
        <f t="shared" si="2"/>
        <v>-1.2809338454620642</v>
      </c>
      <c r="I134">
        <f t="shared" si="3"/>
        <v>-0.43333333333333335</v>
      </c>
      <c r="J134">
        <f t="shared" si="4"/>
        <v>0.55507133303356115</v>
      </c>
    </row>
    <row r="135" spans="1:12" x14ac:dyDescent="0.3">
      <c r="A135" t="s">
        <v>239</v>
      </c>
      <c r="B135" t="s">
        <v>163</v>
      </c>
      <c r="C135" t="s">
        <v>481</v>
      </c>
      <c r="D135">
        <v>2</v>
      </c>
      <c r="E135">
        <v>3</v>
      </c>
      <c r="F135">
        <f t="shared" si="5"/>
        <v>0.33333333333333331</v>
      </c>
      <c r="G135">
        <f t="shared" si="1"/>
        <v>0.3</v>
      </c>
      <c r="H135">
        <f t="shared" si="2"/>
        <v>0.10536051565782635</v>
      </c>
      <c r="I135">
        <f t="shared" si="3"/>
        <v>3.3333333333333326E-2</v>
      </c>
      <c r="J135">
        <f t="shared" si="4"/>
        <v>3.5120171885942111E-3</v>
      </c>
      <c r="K135">
        <f>J135+J136+J137+J138</f>
        <v>0.15607104090414065</v>
      </c>
      <c r="L135" t="s">
        <v>501</v>
      </c>
    </row>
    <row r="136" spans="1:12" x14ac:dyDescent="0.3">
      <c r="C136" t="s">
        <v>480</v>
      </c>
      <c r="D136">
        <v>1</v>
      </c>
      <c r="E136">
        <v>3</v>
      </c>
      <c r="F136">
        <f t="shared" si="5"/>
        <v>0.16666666666666666</v>
      </c>
      <c r="G136">
        <f t="shared" si="1"/>
        <v>0.3</v>
      </c>
      <c r="H136">
        <f t="shared" si="2"/>
        <v>-0.58778666490211895</v>
      </c>
      <c r="I136">
        <f t="shared" si="3"/>
        <v>-0.13333333333333333</v>
      </c>
      <c r="J136">
        <f t="shared" si="4"/>
        <v>7.8371555320282532E-2</v>
      </c>
    </row>
    <row r="137" spans="1:12" x14ac:dyDescent="0.3">
      <c r="C137" t="s">
        <v>491</v>
      </c>
      <c r="D137">
        <v>2</v>
      </c>
      <c r="E137">
        <v>2</v>
      </c>
      <c r="F137">
        <f t="shared" si="5"/>
        <v>0.33333333333333331</v>
      </c>
      <c r="G137">
        <f t="shared" si="1"/>
        <v>0.2</v>
      </c>
      <c r="H137">
        <f t="shared" si="2"/>
        <v>0.51082562376599061</v>
      </c>
      <c r="I137">
        <f t="shared" si="3"/>
        <v>0.1333333333333333</v>
      </c>
      <c r="J137">
        <f t="shared" si="4"/>
        <v>6.8110083168798727E-2</v>
      </c>
    </row>
    <row r="138" spans="1:12" x14ac:dyDescent="0.3">
      <c r="C138" t="s">
        <v>492</v>
      </c>
      <c r="D138">
        <v>1</v>
      </c>
      <c r="E138">
        <v>2</v>
      </c>
      <c r="F138">
        <f t="shared" si="5"/>
        <v>0.16666666666666666</v>
      </c>
      <c r="G138">
        <f t="shared" si="1"/>
        <v>0.2</v>
      </c>
      <c r="H138">
        <f t="shared" si="2"/>
        <v>-0.1823215567939547</v>
      </c>
      <c r="I138">
        <f t="shared" si="3"/>
        <v>-3.3333333333333354E-2</v>
      </c>
      <c r="J138">
        <f t="shared" si="4"/>
        <v>6.0773852264651602E-3</v>
      </c>
    </row>
    <row r="139" spans="1:12" x14ac:dyDescent="0.3">
      <c r="A139" t="s">
        <v>240</v>
      </c>
      <c r="B139" t="s">
        <v>164</v>
      </c>
      <c r="C139" t="s">
        <v>481</v>
      </c>
      <c r="D139">
        <v>1</v>
      </c>
      <c r="E139">
        <v>4</v>
      </c>
      <c r="F139">
        <f t="shared" si="5"/>
        <v>0.16666666666666666</v>
      </c>
      <c r="G139">
        <f t="shared" si="1"/>
        <v>0.4</v>
      </c>
      <c r="H139">
        <f t="shared" si="2"/>
        <v>-0.87546873735390007</v>
      </c>
      <c r="I139">
        <f t="shared" si="3"/>
        <v>-0.23333333333333336</v>
      </c>
      <c r="J139">
        <f t="shared" si="4"/>
        <v>0.20427603871591005</v>
      </c>
      <c r="K139">
        <f>J139+J140+J141+J142</f>
        <v>0.63168466488104291</v>
      </c>
    </row>
    <row r="140" spans="1:12" x14ac:dyDescent="0.3">
      <c r="C140" t="s">
        <v>480</v>
      </c>
      <c r="D140">
        <v>2</v>
      </c>
      <c r="E140">
        <v>1</v>
      </c>
      <c r="F140">
        <f t="shared" si="5"/>
        <v>0.33333333333333331</v>
      </c>
      <c r="G140">
        <f t="shared" si="1"/>
        <v>0.1</v>
      </c>
      <c r="H140">
        <f t="shared" si="2"/>
        <v>1.2039728043259359</v>
      </c>
      <c r="I140">
        <f t="shared" si="3"/>
        <v>0.23333333333333331</v>
      </c>
      <c r="J140">
        <f t="shared" si="4"/>
        <v>0.28092698767605168</v>
      </c>
    </row>
    <row r="141" spans="1:12" x14ac:dyDescent="0.3">
      <c r="C141" t="s">
        <v>491</v>
      </c>
      <c r="D141">
        <v>2</v>
      </c>
      <c r="E141">
        <v>2</v>
      </c>
      <c r="F141">
        <f t="shared" si="5"/>
        <v>0.33333333333333331</v>
      </c>
      <c r="G141">
        <f t="shared" si="1"/>
        <v>0.2</v>
      </c>
      <c r="H141">
        <f t="shared" si="2"/>
        <v>0.51082562376599061</v>
      </c>
      <c r="I141">
        <f t="shared" si="3"/>
        <v>0.1333333333333333</v>
      </c>
      <c r="J141">
        <f t="shared" si="4"/>
        <v>6.8110083168798727E-2</v>
      </c>
    </row>
    <row r="142" spans="1:12" x14ac:dyDescent="0.3">
      <c r="C142" t="s">
        <v>492</v>
      </c>
      <c r="D142">
        <v>1</v>
      </c>
      <c r="E142">
        <v>3</v>
      </c>
      <c r="F142">
        <f t="shared" si="5"/>
        <v>0.16666666666666666</v>
      </c>
      <c r="G142">
        <f t="shared" si="1"/>
        <v>0.3</v>
      </c>
      <c r="H142">
        <f t="shared" si="2"/>
        <v>-0.58778666490211895</v>
      </c>
      <c r="I142">
        <f t="shared" si="3"/>
        <v>-0.13333333333333333</v>
      </c>
      <c r="J142">
        <f t="shared" si="4"/>
        <v>7.8371555320282532E-2</v>
      </c>
    </row>
    <row r="143" spans="1:12" x14ac:dyDescent="0.3">
      <c r="A143" t="s">
        <v>241</v>
      </c>
      <c r="B143" t="s">
        <v>165</v>
      </c>
      <c r="C143" t="s">
        <v>481</v>
      </c>
      <c r="D143">
        <v>1</v>
      </c>
      <c r="E143">
        <v>4</v>
      </c>
      <c r="F143">
        <f t="shared" si="5"/>
        <v>0.16666666666666666</v>
      </c>
      <c r="G143">
        <f t="shared" si="1"/>
        <v>0.4</v>
      </c>
      <c r="H143">
        <f t="shared" si="2"/>
        <v>-0.87546873735390007</v>
      </c>
      <c r="I143">
        <f t="shared" si="3"/>
        <v>-0.23333333333333336</v>
      </c>
      <c r="J143">
        <f t="shared" si="4"/>
        <v>0.20427603871591005</v>
      </c>
      <c r="K143">
        <f>J143+J144+J145</f>
        <v>0.91562872170757759</v>
      </c>
    </row>
    <row r="144" spans="1:12" x14ac:dyDescent="0.3">
      <c r="C144" t="s">
        <v>480</v>
      </c>
      <c r="D144">
        <v>3</v>
      </c>
      <c r="E144">
        <v>1</v>
      </c>
      <c r="F144">
        <f t="shared" si="5"/>
        <v>0.5</v>
      </c>
      <c r="G144">
        <f t="shared" si="1"/>
        <v>0.1</v>
      </c>
      <c r="H144">
        <f t="shared" si="2"/>
        <v>1.6094379124341003</v>
      </c>
      <c r="I144">
        <f t="shared" si="3"/>
        <v>0.4</v>
      </c>
      <c r="J144">
        <f t="shared" si="4"/>
        <v>0.64377516497364018</v>
      </c>
    </row>
    <row r="145" spans="1:12" x14ac:dyDescent="0.3">
      <c r="C145" t="s">
        <v>488</v>
      </c>
      <c r="D145">
        <v>2</v>
      </c>
      <c r="E145">
        <v>5</v>
      </c>
      <c r="F145">
        <f t="shared" si="5"/>
        <v>0.33333333333333331</v>
      </c>
      <c r="G145">
        <f t="shared" si="1"/>
        <v>0.5</v>
      </c>
      <c r="H145">
        <f t="shared" si="2"/>
        <v>-0.40546510810816444</v>
      </c>
      <c r="I145">
        <f t="shared" si="3"/>
        <v>-0.16666666666666669</v>
      </c>
      <c r="J145">
        <f t="shared" si="4"/>
        <v>6.7577518018027416E-2</v>
      </c>
    </row>
    <row r="146" spans="1:12" x14ac:dyDescent="0.3">
      <c r="A146" t="s">
        <v>242</v>
      </c>
      <c r="B146" t="s">
        <v>166</v>
      </c>
      <c r="C146" t="s">
        <v>481</v>
      </c>
      <c r="D146">
        <v>2</v>
      </c>
      <c r="E146">
        <v>3</v>
      </c>
      <c r="F146">
        <f t="shared" si="5"/>
        <v>0.33333333333333331</v>
      </c>
      <c r="G146">
        <f t="shared" si="1"/>
        <v>0.3</v>
      </c>
      <c r="H146">
        <f t="shared" si="2"/>
        <v>0.10536051565782635</v>
      </c>
      <c r="I146">
        <f t="shared" si="3"/>
        <v>3.3333333333333326E-2</v>
      </c>
      <c r="J146">
        <f t="shared" si="4"/>
        <v>3.5120171885942111E-3</v>
      </c>
      <c r="K146">
        <f>J146+J147+J148</f>
        <v>0.10419792764029773</v>
      </c>
      <c r="L146" t="s">
        <v>501</v>
      </c>
    </row>
    <row r="147" spans="1:12" x14ac:dyDescent="0.3">
      <c r="C147" t="s">
        <v>480</v>
      </c>
      <c r="D147">
        <v>1</v>
      </c>
      <c r="E147">
        <v>3</v>
      </c>
      <c r="F147">
        <f t="shared" si="5"/>
        <v>0.16666666666666666</v>
      </c>
      <c r="G147">
        <f t="shared" si="1"/>
        <v>0.3</v>
      </c>
      <c r="H147">
        <f t="shared" si="2"/>
        <v>-0.58778666490211895</v>
      </c>
      <c r="I147">
        <f t="shared" si="3"/>
        <v>-0.13333333333333333</v>
      </c>
      <c r="J147">
        <f t="shared" si="4"/>
        <v>7.8371555320282532E-2</v>
      </c>
    </row>
    <row r="148" spans="1:12" x14ac:dyDescent="0.3">
      <c r="C148" t="s">
        <v>488</v>
      </c>
      <c r="D148">
        <v>3</v>
      </c>
      <c r="E148">
        <v>4</v>
      </c>
      <c r="F148">
        <f t="shared" si="5"/>
        <v>0.5</v>
      </c>
      <c r="G148">
        <f t="shared" si="1"/>
        <v>0.4</v>
      </c>
      <c r="H148">
        <f t="shared" si="2"/>
        <v>0.22314355131420976</v>
      </c>
      <c r="I148">
        <f t="shared" si="3"/>
        <v>9.9999999999999978E-2</v>
      </c>
      <c r="J148">
        <f t="shared" si="4"/>
        <v>2.2314355131420972E-2</v>
      </c>
    </row>
    <row r="149" spans="1:12" x14ac:dyDescent="0.3">
      <c r="A149" t="s">
        <v>243</v>
      </c>
      <c r="B149" t="s">
        <v>167</v>
      </c>
      <c r="C149" t="s">
        <v>481</v>
      </c>
      <c r="D149">
        <v>1</v>
      </c>
      <c r="E149">
        <v>4</v>
      </c>
      <c r="F149">
        <f t="shared" si="5"/>
        <v>0.16666666666666666</v>
      </c>
      <c r="G149">
        <f t="shared" si="1"/>
        <v>0.4</v>
      </c>
      <c r="H149">
        <f t="shared" si="2"/>
        <v>-0.87546873735390007</v>
      </c>
      <c r="I149">
        <f t="shared" si="3"/>
        <v>-0.23333333333333336</v>
      </c>
      <c r="J149">
        <f t="shared" si="4"/>
        <v>0.20427603871591005</v>
      </c>
      <c r="K149">
        <f>J149+J150+J151</f>
        <v>0.48520302639196172</v>
      </c>
    </row>
    <row r="150" spans="1:12" x14ac:dyDescent="0.3">
      <c r="C150" t="s">
        <v>480</v>
      </c>
      <c r="D150">
        <v>2</v>
      </c>
      <c r="E150">
        <v>1</v>
      </c>
      <c r="F150">
        <f t="shared" si="5"/>
        <v>0.33333333333333331</v>
      </c>
      <c r="G150">
        <f t="shared" si="1"/>
        <v>0.1</v>
      </c>
      <c r="H150">
        <f t="shared" si="2"/>
        <v>1.2039728043259359</v>
      </c>
      <c r="I150">
        <f t="shared" si="3"/>
        <v>0.23333333333333331</v>
      </c>
      <c r="J150">
        <f t="shared" si="4"/>
        <v>0.28092698767605168</v>
      </c>
    </row>
    <row r="151" spans="1:12" x14ac:dyDescent="0.3">
      <c r="C151" t="s">
        <v>488</v>
      </c>
      <c r="D151">
        <v>3</v>
      </c>
      <c r="E151">
        <v>5</v>
      </c>
      <c r="F151">
        <f t="shared" si="5"/>
        <v>0.5</v>
      </c>
      <c r="G151">
        <f t="shared" si="1"/>
        <v>0.5</v>
      </c>
      <c r="H151">
        <f t="shared" si="2"/>
        <v>0</v>
      </c>
      <c r="I151">
        <f t="shared" si="3"/>
        <v>0</v>
      </c>
      <c r="J151">
        <f t="shared" si="4"/>
        <v>0</v>
      </c>
    </row>
    <row r="152" spans="1:12" x14ac:dyDescent="0.3">
      <c r="A152" t="s">
        <v>244</v>
      </c>
      <c r="B152" t="s">
        <v>168</v>
      </c>
      <c r="C152" t="s">
        <v>481</v>
      </c>
      <c r="D152">
        <v>1</v>
      </c>
      <c r="E152">
        <v>4</v>
      </c>
      <c r="F152">
        <f t="shared" si="5"/>
        <v>0.16666666666666666</v>
      </c>
      <c r="G152">
        <f t="shared" si="1"/>
        <v>0.4</v>
      </c>
      <c r="H152">
        <f t="shared" si="2"/>
        <v>-0.87546873735390007</v>
      </c>
      <c r="I152">
        <f t="shared" si="3"/>
        <v>-0.23333333333333336</v>
      </c>
      <c r="J152">
        <f t="shared" si="4"/>
        <v>0.20427603871591005</v>
      </c>
      <c r="K152">
        <f>J152+J153+J154</f>
        <v>0.57543374931604219</v>
      </c>
    </row>
    <row r="153" spans="1:12" x14ac:dyDescent="0.3">
      <c r="C153" t="s">
        <v>493</v>
      </c>
      <c r="D153">
        <v>4</v>
      </c>
      <c r="E153">
        <v>3</v>
      </c>
      <c r="F153">
        <f t="shared" si="5"/>
        <v>0.66666666666666663</v>
      </c>
      <c r="G153">
        <f t="shared" si="1"/>
        <v>0.3</v>
      </c>
      <c r="H153">
        <f t="shared" si="2"/>
        <v>0.79850769621777162</v>
      </c>
      <c r="I153">
        <f t="shared" si="3"/>
        <v>0.36666666666666664</v>
      </c>
      <c r="J153">
        <f t="shared" si="4"/>
        <v>0.29278615527984958</v>
      </c>
    </row>
    <row r="154" spans="1:12" x14ac:dyDescent="0.3">
      <c r="C154" t="s">
        <v>492</v>
      </c>
      <c r="D154">
        <v>1</v>
      </c>
      <c r="E154">
        <v>3</v>
      </c>
      <c r="F154">
        <f t="shared" si="5"/>
        <v>0.16666666666666666</v>
      </c>
      <c r="G154">
        <f t="shared" si="1"/>
        <v>0.3</v>
      </c>
      <c r="H154">
        <f t="shared" si="2"/>
        <v>-0.58778666490211895</v>
      </c>
      <c r="I154">
        <f t="shared" si="3"/>
        <v>-0.13333333333333333</v>
      </c>
      <c r="J154">
        <f t="shared" si="4"/>
        <v>7.8371555320282532E-2</v>
      </c>
    </row>
    <row r="155" spans="1:12" x14ac:dyDescent="0.3">
      <c r="A155" t="s">
        <v>245</v>
      </c>
      <c r="B155" t="s">
        <v>169</v>
      </c>
      <c r="C155" t="s">
        <v>481</v>
      </c>
      <c r="D155">
        <v>1</v>
      </c>
      <c r="E155">
        <v>3</v>
      </c>
      <c r="F155">
        <f t="shared" si="5"/>
        <v>0.16666666666666666</v>
      </c>
      <c r="G155">
        <f t="shared" si="1"/>
        <v>0.3</v>
      </c>
      <c r="H155">
        <f t="shared" si="2"/>
        <v>-0.58778666490211895</v>
      </c>
      <c r="I155">
        <f t="shared" si="3"/>
        <v>-0.13333333333333333</v>
      </c>
      <c r="J155">
        <f t="shared" si="4"/>
        <v>7.8371555320282532E-2</v>
      </c>
      <c r="K155">
        <f>J155+J156+J157+J158</f>
        <v>0.29296327697816249</v>
      </c>
      <c r="L155" t="s">
        <v>501</v>
      </c>
    </row>
    <row r="156" spans="1:12" x14ac:dyDescent="0.3">
      <c r="C156" t="s">
        <v>480</v>
      </c>
      <c r="D156">
        <v>2</v>
      </c>
      <c r="E156">
        <v>2</v>
      </c>
      <c r="F156">
        <f t="shared" si="5"/>
        <v>0.33333333333333331</v>
      </c>
      <c r="G156">
        <f t="shared" si="1"/>
        <v>0.2</v>
      </c>
      <c r="H156">
        <f t="shared" si="2"/>
        <v>0.51082562376599061</v>
      </c>
      <c r="I156">
        <f t="shared" si="3"/>
        <v>0.1333333333333333</v>
      </c>
      <c r="J156">
        <f t="shared" si="4"/>
        <v>6.8110083168798727E-2</v>
      </c>
    </row>
    <row r="157" spans="1:12" x14ac:dyDescent="0.3">
      <c r="C157" t="s">
        <v>491</v>
      </c>
      <c r="D157">
        <v>2</v>
      </c>
      <c r="E157">
        <v>2</v>
      </c>
      <c r="F157">
        <f t="shared" si="5"/>
        <v>0.33333333333333331</v>
      </c>
      <c r="G157">
        <f t="shared" si="1"/>
        <v>0.2</v>
      </c>
      <c r="H157">
        <f t="shared" si="2"/>
        <v>0.51082562376599061</v>
      </c>
      <c r="I157">
        <f t="shared" si="3"/>
        <v>0.1333333333333333</v>
      </c>
      <c r="J157">
        <f t="shared" si="4"/>
        <v>6.8110083168798727E-2</v>
      </c>
    </row>
    <row r="158" spans="1:12" x14ac:dyDescent="0.3">
      <c r="C158" t="s">
        <v>492</v>
      </c>
      <c r="D158">
        <v>1</v>
      </c>
      <c r="E158">
        <v>3</v>
      </c>
      <c r="F158">
        <f t="shared" si="5"/>
        <v>0.16666666666666666</v>
      </c>
      <c r="G158">
        <f t="shared" si="1"/>
        <v>0.3</v>
      </c>
      <c r="H158">
        <f t="shared" si="2"/>
        <v>-0.58778666490211895</v>
      </c>
      <c r="I158">
        <f t="shared" si="3"/>
        <v>-0.13333333333333333</v>
      </c>
      <c r="J158">
        <f t="shared" si="4"/>
        <v>7.8371555320282532E-2</v>
      </c>
    </row>
    <row r="159" spans="1:12" x14ac:dyDescent="0.3">
      <c r="A159" t="s">
        <v>246</v>
      </c>
      <c r="B159" t="s">
        <v>170</v>
      </c>
      <c r="C159" t="s">
        <v>481</v>
      </c>
      <c r="D159">
        <v>2</v>
      </c>
      <c r="E159">
        <v>2</v>
      </c>
      <c r="F159">
        <f t="shared" si="5"/>
        <v>0.33333333333333331</v>
      </c>
      <c r="G159">
        <f t="shared" si="1"/>
        <v>0.2</v>
      </c>
      <c r="H159">
        <f t="shared" si="2"/>
        <v>0.51082562376599061</v>
      </c>
      <c r="I159">
        <f t="shared" si="3"/>
        <v>0.1333333333333333</v>
      </c>
      <c r="J159">
        <f t="shared" si="4"/>
        <v>6.8110083168798727E-2</v>
      </c>
      <c r="K159">
        <f>J159+J160+J161+J162</f>
        <v>0.15607104090414062</v>
      </c>
      <c r="L159" t="s">
        <v>501</v>
      </c>
    </row>
    <row r="160" spans="1:12" x14ac:dyDescent="0.3">
      <c r="C160" t="s">
        <v>480</v>
      </c>
      <c r="D160">
        <v>1</v>
      </c>
      <c r="E160">
        <v>2</v>
      </c>
      <c r="F160">
        <f t="shared" si="5"/>
        <v>0.16666666666666666</v>
      </c>
      <c r="G160">
        <f t="shared" si="1"/>
        <v>0.2</v>
      </c>
      <c r="H160">
        <f t="shared" si="2"/>
        <v>-0.1823215567939547</v>
      </c>
      <c r="I160">
        <f t="shared" si="3"/>
        <v>-3.3333333333333354E-2</v>
      </c>
      <c r="J160">
        <f t="shared" si="4"/>
        <v>6.0773852264651602E-3</v>
      </c>
    </row>
    <row r="161" spans="1:12" x14ac:dyDescent="0.3">
      <c r="C161" t="s">
        <v>491</v>
      </c>
      <c r="D161">
        <v>1</v>
      </c>
      <c r="E161">
        <v>3</v>
      </c>
      <c r="F161">
        <f t="shared" si="5"/>
        <v>0.16666666666666666</v>
      </c>
      <c r="G161">
        <f t="shared" si="1"/>
        <v>0.3</v>
      </c>
      <c r="H161">
        <f t="shared" si="2"/>
        <v>-0.58778666490211895</v>
      </c>
      <c r="I161">
        <f t="shared" si="3"/>
        <v>-0.13333333333333333</v>
      </c>
      <c r="J161">
        <f t="shared" si="4"/>
        <v>7.8371555320282532E-2</v>
      </c>
    </row>
    <row r="162" spans="1:12" x14ac:dyDescent="0.3">
      <c r="C162" t="s">
        <v>492</v>
      </c>
      <c r="D162">
        <v>2</v>
      </c>
      <c r="E162">
        <v>3</v>
      </c>
      <c r="F162">
        <f t="shared" si="5"/>
        <v>0.33333333333333331</v>
      </c>
      <c r="G162">
        <f t="shared" si="1"/>
        <v>0.3</v>
      </c>
      <c r="H162">
        <f t="shared" si="2"/>
        <v>0.10536051565782635</v>
      </c>
      <c r="I162">
        <f t="shared" si="3"/>
        <v>3.3333333333333326E-2</v>
      </c>
      <c r="J162">
        <f t="shared" si="4"/>
        <v>3.5120171885942111E-3</v>
      </c>
    </row>
    <row r="163" spans="1:12" x14ac:dyDescent="0.3">
      <c r="A163" t="s">
        <v>247</v>
      </c>
      <c r="B163" t="s">
        <v>171</v>
      </c>
      <c r="C163" t="s">
        <v>481</v>
      </c>
      <c r="D163">
        <v>1</v>
      </c>
      <c r="E163">
        <v>2</v>
      </c>
      <c r="F163">
        <f t="shared" si="5"/>
        <v>0.16666666666666666</v>
      </c>
      <c r="G163">
        <f t="shared" si="1"/>
        <v>0.2</v>
      </c>
      <c r="H163">
        <f t="shared" si="2"/>
        <v>-0.1823215567939547</v>
      </c>
      <c r="I163">
        <f t="shared" si="3"/>
        <v>-3.3333333333333354E-2</v>
      </c>
      <c r="J163">
        <f t="shared" si="4"/>
        <v>6.0773852264651602E-3</v>
      </c>
      <c r="K163">
        <f>J163+J164+J165+J166</f>
        <v>0.15607104090414062</v>
      </c>
      <c r="L163" t="s">
        <v>501</v>
      </c>
    </row>
    <row r="164" spans="1:12" x14ac:dyDescent="0.3">
      <c r="C164" t="s">
        <v>480</v>
      </c>
      <c r="D164">
        <v>2</v>
      </c>
      <c r="E164">
        <v>2</v>
      </c>
      <c r="F164">
        <f t="shared" si="5"/>
        <v>0.33333333333333331</v>
      </c>
      <c r="G164">
        <f t="shared" si="1"/>
        <v>0.2</v>
      </c>
      <c r="H164">
        <f t="shared" si="2"/>
        <v>0.51082562376599061</v>
      </c>
      <c r="I164">
        <f t="shared" si="3"/>
        <v>0.1333333333333333</v>
      </c>
      <c r="J164">
        <f t="shared" si="4"/>
        <v>6.8110083168798727E-2</v>
      </c>
    </row>
    <row r="165" spans="1:12" x14ac:dyDescent="0.3">
      <c r="C165" t="s">
        <v>491</v>
      </c>
      <c r="D165">
        <v>1</v>
      </c>
      <c r="E165">
        <v>3</v>
      </c>
      <c r="F165">
        <f t="shared" si="5"/>
        <v>0.16666666666666666</v>
      </c>
      <c r="G165">
        <f t="shared" si="1"/>
        <v>0.3</v>
      </c>
      <c r="H165">
        <f t="shared" si="2"/>
        <v>-0.58778666490211895</v>
      </c>
      <c r="I165">
        <f t="shared" si="3"/>
        <v>-0.13333333333333333</v>
      </c>
      <c r="J165">
        <f t="shared" si="4"/>
        <v>7.8371555320282532E-2</v>
      </c>
    </row>
    <row r="166" spans="1:12" x14ac:dyDescent="0.3">
      <c r="C166" t="s">
        <v>492</v>
      </c>
      <c r="D166">
        <v>2</v>
      </c>
      <c r="E166">
        <v>3</v>
      </c>
      <c r="F166">
        <f t="shared" si="5"/>
        <v>0.33333333333333331</v>
      </c>
      <c r="G166">
        <f t="shared" si="1"/>
        <v>0.3</v>
      </c>
      <c r="H166">
        <f t="shared" si="2"/>
        <v>0.10536051565782635</v>
      </c>
      <c r="I166">
        <f t="shared" si="3"/>
        <v>3.3333333333333326E-2</v>
      </c>
      <c r="J166">
        <f t="shared" si="4"/>
        <v>3.5120171885942111E-3</v>
      </c>
    </row>
    <row r="167" spans="1:12" x14ac:dyDescent="0.3">
      <c r="A167" t="s">
        <v>248</v>
      </c>
      <c r="B167" t="s">
        <v>172</v>
      </c>
      <c r="C167" t="s">
        <v>481</v>
      </c>
      <c r="D167">
        <v>2</v>
      </c>
      <c r="E167">
        <v>3</v>
      </c>
      <c r="F167">
        <f t="shared" si="5"/>
        <v>0.33333333333333331</v>
      </c>
      <c r="G167">
        <f t="shared" si="1"/>
        <v>0.3</v>
      </c>
      <c r="H167">
        <f t="shared" si="2"/>
        <v>0.10536051565782635</v>
      </c>
      <c r="I167">
        <f t="shared" si="3"/>
        <v>3.3333333333333326E-2</v>
      </c>
      <c r="J167">
        <f t="shared" si="4"/>
        <v>3.5120171885942111E-3</v>
      </c>
      <c r="K167">
        <f>J167+J168+J169+J170</f>
        <v>0.15607104090414065</v>
      </c>
      <c r="L167" t="s">
        <v>501</v>
      </c>
    </row>
    <row r="168" spans="1:12" x14ac:dyDescent="0.3">
      <c r="C168" t="s">
        <v>480</v>
      </c>
      <c r="D168">
        <v>1</v>
      </c>
      <c r="E168">
        <v>3</v>
      </c>
      <c r="F168">
        <f t="shared" si="5"/>
        <v>0.16666666666666666</v>
      </c>
      <c r="G168">
        <f t="shared" si="1"/>
        <v>0.3</v>
      </c>
      <c r="H168">
        <f t="shared" si="2"/>
        <v>-0.58778666490211895</v>
      </c>
      <c r="I168">
        <f t="shared" si="3"/>
        <v>-0.13333333333333333</v>
      </c>
      <c r="J168">
        <f t="shared" si="4"/>
        <v>7.8371555320282532E-2</v>
      </c>
    </row>
    <row r="169" spans="1:12" x14ac:dyDescent="0.3">
      <c r="C169" t="s">
        <v>491</v>
      </c>
      <c r="D169">
        <v>2</v>
      </c>
      <c r="E169">
        <v>2</v>
      </c>
      <c r="F169">
        <f t="shared" si="5"/>
        <v>0.33333333333333331</v>
      </c>
      <c r="G169">
        <f t="shared" si="1"/>
        <v>0.2</v>
      </c>
      <c r="H169">
        <f t="shared" si="2"/>
        <v>0.51082562376599061</v>
      </c>
      <c r="I169">
        <f t="shared" si="3"/>
        <v>0.1333333333333333</v>
      </c>
      <c r="J169">
        <f t="shared" si="4"/>
        <v>6.8110083168798727E-2</v>
      </c>
    </row>
    <row r="170" spans="1:12" x14ac:dyDescent="0.3">
      <c r="C170" t="s">
        <v>492</v>
      </c>
      <c r="D170">
        <v>1</v>
      </c>
      <c r="E170">
        <v>2</v>
      </c>
      <c r="F170">
        <f t="shared" si="5"/>
        <v>0.16666666666666666</v>
      </c>
      <c r="G170">
        <f t="shared" si="1"/>
        <v>0.2</v>
      </c>
      <c r="H170">
        <f t="shared" si="2"/>
        <v>-0.1823215567939547</v>
      </c>
      <c r="I170">
        <f t="shared" si="3"/>
        <v>-3.3333333333333354E-2</v>
      </c>
      <c r="J170">
        <f t="shared" si="4"/>
        <v>6.0773852264651602E-3</v>
      </c>
    </row>
    <row r="171" spans="1:12" x14ac:dyDescent="0.3">
      <c r="A171" t="s">
        <v>249</v>
      </c>
      <c r="B171" t="s">
        <v>173</v>
      </c>
      <c r="C171" t="s">
        <v>494</v>
      </c>
      <c r="D171">
        <v>2</v>
      </c>
      <c r="E171">
        <v>4</v>
      </c>
      <c r="F171">
        <f t="shared" si="5"/>
        <v>0.33333333333333331</v>
      </c>
      <c r="G171">
        <f t="shared" si="1"/>
        <v>0.4</v>
      </c>
      <c r="H171">
        <f t="shared" si="2"/>
        <v>-0.1823215567939547</v>
      </c>
      <c r="I171">
        <f t="shared" si="3"/>
        <v>-6.6666666666666707E-2</v>
      </c>
      <c r="J171">
        <f t="shared" si="4"/>
        <v>1.215477045293032E-2</v>
      </c>
      <c r="K171">
        <f>J171+J172+J173</f>
        <v>1.9178804830118745E-2</v>
      </c>
      <c r="L171" t="s">
        <v>501</v>
      </c>
    </row>
    <row r="172" spans="1:12" x14ac:dyDescent="0.3">
      <c r="C172" t="s">
        <v>491</v>
      </c>
      <c r="D172">
        <v>2</v>
      </c>
      <c r="E172">
        <v>3</v>
      </c>
      <c r="F172">
        <f t="shared" si="5"/>
        <v>0.33333333333333331</v>
      </c>
      <c r="G172">
        <f t="shared" si="1"/>
        <v>0.3</v>
      </c>
      <c r="H172">
        <f t="shared" si="2"/>
        <v>0.10536051565782635</v>
      </c>
      <c r="I172">
        <f t="shared" si="3"/>
        <v>3.3333333333333326E-2</v>
      </c>
      <c r="J172">
        <f t="shared" si="4"/>
        <v>3.5120171885942111E-3</v>
      </c>
    </row>
    <row r="173" spans="1:12" x14ac:dyDescent="0.3">
      <c r="C173" t="s">
        <v>492</v>
      </c>
      <c r="D173">
        <v>2</v>
      </c>
      <c r="E173">
        <v>3</v>
      </c>
      <c r="F173">
        <f t="shared" si="5"/>
        <v>0.33333333333333331</v>
      </c>
      <c r="G173">
        <f t="shared" si="1"/>
        <v>0.3</v>
      </c>
      <c r="H173">
        <f t="shared" si="2"/>
        <v>0.10536051565782635</v>
      </c>
      <c r="I173">
        <f t="shared" si="3"/>
        <v>3.3333333333333326E-2</v>
      </c>
      <c r="J173">
        <f t="shared" si="4"/>
        <v>3.5120171885942111E-3</v>
      </c>
    </row>
    <row r="174" spans="1:12" x14ac:dyDescent="0.3">
      <c r="A174" t="s">
        <v>250</v>
      </c>
      <c r="B174" t="s">
        <v>174</v>
      </c>
      <c r="C174" t="s">
        <v>481</v>
      </c>
      <c r="D174">
        <v>3</v>
      </c>
      <c r="E174">
        <v>3</v>
      </c>
      <c r="F174">
        <f t="shared" si="5"/>
        <v>0.5</v>
      </c>
      <c r="G174">
        <f t="shared" si="1"/>
        <v>0.3</v>
      </c>
      <c r="H174">
        <f t="shared" si="2"/>
        <v>0.51082562376599072</v>
      </c>
      <c r="I174">
        <f t="shared" si="3"/>
        <v>0.2</v>
      </c>
      <c r="J174">
        <f t="shared" si="4"/>
        <v>0.10216512475319815</v>
      </c>
      <c r="K174">
        <f>J174+J175+J176+J177</f>
        <v>0.19269145052641101</v>
      </c>
      <c r="L174" t="s">
        <v>501</v>
      </c>
    </row>
    <row r="175" spans="1:12" x14ac:dyDescent="0.3">
      <c r="C175" t="s">
        <v>480</v>
      </c>
      <c r="D175">
        <v>1</v>
      </c>
      <c r="E175">
        <v>2</v>
      </c>
      <c r="F175">
        <f t="shared" si="5"/>
        <v>0.16666666666666666</v>
      </c>
      <c r="G175">
        <f t="shared" si="1"/>
        <v>0.2</v>
      </c>
      <c r="H175">
        <f t="shared" si="2"/>
        <v>-0.1823215567939547</v>
      </c>
      <c r="I175">
        <f t="shared" si="3"/>
        <v>-3.3333333333333354E-2</v>
      </c>
      <c r="J175">
        <f t="shared" si="4"/>
        <v>6.0773852264651602E-3</v>
      </c>
    </row>
    <row r="176" spans="1:12" x14ac:dyDescent="0.3">
      <c r="C176" t="s">
        <v>491</v>
      </c>
      <c r="D176">
        <v>1</v>
      </c>
      <c r="E176">
        <v>3</v>
      </c>
      <c r="F176">
        <f t="shared" si="5"/>
        <v>0.16666666666666666</v>
      </c>
      <c r="G176">
        <f t="shared" si="1"/>
        <v>0.3</v>
      </c>
      <c r="H176">
        <f t="shared" si="2"/>
        <v>-0.58778666490211895</v>
      </c>
      <c r="I176">
        <f t="shared" si="3"/>
        <v>-0.13333333333333333</v>
      </c>
      <c r="J176">
        <f t="shared" si="4"/>
        <v>7.8371555320282532E-2</v>
      </c>
    </row>
    <row r="177" spans="1:12" x14ac:dyDescent="0.3">
      <c r="C177" t="s">
        <v>492</v>
      </c>
      <c r="D177">
        <v>1</v>
      </c>
      <c r="E177">
        <v>2</v>
      </c>
      <c r="F177">
        <f t="shared" si="5"/>
        <v>0.16666666666666666</v>
      </c>
      <c r="G177">
        <f t="shared" si="1"/>
        <v>0.2</v>
      </c>
      <c r="H177">
        <f t="shared" si="2"/>
        <v>-0.1823215567939547</v>
      </c>
      <c r="I177">
        <f t="shared" si="3"/>
        <v>-3.3333333333333354E-2</v>
      </c>
      <c r="J177">
        <f t="shared" si="4"/>
        <v>6.0773852264651602E-3</v>
      </c>
    </row>
    <row r="178" spans="1:12" x14ac:dyDescent="0.3">
      <c r="A178" t="s">
        <v>251</v>
      </c>
      <c r="B178" t="s">
        <v>175</v>
      </c>
      <c r="C178" t="s">
        <v>481</v>
      </c>
      <c r="D178">
        <v>2</v>
      </c>
      <c r="E178">
        <v>2</v>
      </c>
      <c r="F178">
        <f t="shared" si="5"/>
        <v>0.33333333333333331</v>
      </c>
      <c r="G178">
        <f t="shared" si="1"/>
        <v>0.2</v>
      </c>
      <c r="H178">
        <f t="shared" si="2"/>
        <v>0.51082562376599061</v>
      </c>
      <c r="I178">
        <f t="shared" si="3"/>
        <v>0.1333333333333333</v>
      </c>
      <c r="J178">
        <f t="shared" si="4"/>
        <v>6.8110083168798727E-2</v>
      </c>
      <c r="K178">
        <f>J178+J179+J180+J181</f>
        <v>0.15607104090414062</v>
      </c>
      <c r="L178" t="s">
        <v>501</v>
      </c>
    </row>
    <row r="179" spans="1:12" x14ac:dyDescent="0.3">
      <c r="C179" t="s">
        <v>480</v>
      </c>
      <c r="D179">
        <v>1</v>
      </c>
      <c r="E179">
        <v>2</v>
      </c>
      <c r="F179">
        <f t="shared" si="5"/>
        <v>0.16666666666666666</v>
      </c>
      <c r="G179">
        <f t="shared" si="1"/>
        <v>0.2</v>
      </c>
      <c r="H179">
        <f t="shared" si="2"/>
        <v>-0.1823215567939547</v>
      </c>
      <c r="I179">
        <f t="shared" si="3"/>
        <v>-3.3333333333333354E-2</v>
      </c>
      <c r="J179">
        <f t="shared" si="4"/>
        <v>6.0773852264651602E-3</v>
      </c>
    </row>
    <row r="180" spans="1:12" x14ac:dyDescent="0.3">
      <c r="C180" t="s">
        <v>491</v>
      </c>
      <c r="D180">
        <v>1</v>
      </c>
      <c r="E180">
        <v>3</v>
      </c>
      <c r="F180">
        <f t="shared" si="5"/>
        <v>0.16666666666666666</v>
      </c>
      <c r="G180">
        <f t="shared" si="1"/>
        <v>0.3</v>
      </c>
      <c r="H180">
        <f t="shared" si="2"/>
        <v>-0.58778666490211895</v>
      </c>
      <c r="I180">
        <f t="shared" si="3"/>
        <v>-0.13333333333333333</v>
      </c>
      <c r="J180">
        <f t="shared" si="4"/>
        <v>7.8371555320282532E-2</v>
      </c>
    </row>
    <row r="181" spans="1:12" x14ac:dyDescent="0.3">
      <c r="C181" t="s">
        <v>492</v>
      </c>
      <c r="D181">
        <v>2</v>
      </c>
      <c r="E181">
        <v>3</v>
      </c>
      <c r="F181">
        <f t="shared" si="5"/>
        <v>0.33333333333333331</v>
      </c>
      <c r="G181">
        <f t="shared" si="1"/>
        <v>0.3</v>
      </c>
      <c r="H181">
        <f t="shared" si="2"/>
        <v>0.10536051565782635</v>
      </c>
      <c r="I181">
        <f t="shared" si="3"/>
        <v>3.3333333333333326E-2</v>
      </c>
      <c r="J181">
        <f t="shared" si="4"/>
        <v>3.5120171885942111E-3</v>
      </c>
    </row>
    <row r="182" spans="1:12" x14ac:dyDescent="0.3">
      <c r="A182" t="s">
        <v>252</v>
      </c>
      <c r="B182" t="s">
        <v>176</v>
      </c>
      <c r="C182" t="s">
        <v>481</v>
      </c>
      <c r="D182">
        <v>2</v>
      </c>
      <c r="E182">
        <v>2</v>
      </c>
      <c r="F182">
        <f t="shared" si="5"/>
        <v>0.33333333333333331</v>
      </c>
      <c r="G182">
        <f t="shared" si="1"/>
        <v>0.2</v>
      </c>
      <c r="H182">
        <f t="shared" si="2"/>
        <v>0.51082562376599061</v>
      </c>
      <c r="I182">
        <f t="shared" si="3"/>
        <v>0.1333333333333333</v>
      </c>
      <c r="J182">
        <f t="shared" si="4"/>
        <v>6.8110083168798727E-2</v>
      </c>
      <c r="K182">
        <f>J182+J183+J184+J185</f>
        <v>0.15607104090414062</v>
      </c>
      <c r="L182" t="s">
        <v>501</v>
      </c>
    </row>
    <row r="183" spans="1:12" x14ac:dyDescent="0.3">
      <c r="C183" t="s">
        <v>480</v>
      </c>
      <c r="D183">
        <v>1</v>
      </c>
      <c r="E183">
        <v>2</v>
      </c>
      <c r="F183">
        <f t="shared" si="5"/>
        <v>0.16666666666666666</v>
      </c>
      <c r="G183">
        <f t="shared" si="1"/>
        <v>0.2</v>
      </c>
      <c r="H183">
        <f t="shared" si="2"/>
        <v>-0.1823215567939547</v>
      </c>
      <c r="I183">
        <f t="shared" si="3"/>
        <v>-3.3333333333333354E-2</v>
      </c>
      <c r="J183">
        <f t="shared" si="4"/>
        <v>6.0773852264651602E-3</v>
      </c>
    </row>
    <row r="184" spans="1:12" x14ac:dyDescent="0.3">
      <c r="C184" t="s">
        <v>491</v>
      </c>
      <c r="D184">
        <v>1</v>
      </c>
      <c r="E184">
        <v>3</v>
      </c>
      <c r="F184">
        <f t="shared" si="5"/>
        <v>0.16666666666666666</v>
      </c>
      <c r="G184">
        <f t="shared" si="1"/>
        <v>0.3</v>
      </c>
      <c r="H184">
        <f t="shared" si="2"/>
        <v>-0.58778666490211895</v>
      </c>
      <c r="I184">
        <f t="shared" si="3"/>
        <v>-0.13333333333333333</v>
      </c>
      <c r="J184">
        <f t="shared" si="4"/>
        <v>7.8371555320282532E-2</v>
      </c>
    </row>
    <row r="185" spans="1:12" x14ac:dyDescent="0.3">
      <c r="C185" t="s">
        <v>492</v>
      </c>
      <c r="D185">
        <v>2</v>
      </c>
      <c r="E185">
        <v>3</v>
      </c>
      <c r="F185">
        <f t="shared" si="5"/>
        <v>0.33333333333333331</v>
      </c>
      <c r="G185">
        <f t="shared" si="1"/>
        <v>0.3</v>
      </c>
      <c r="H185">
        <f t="shared" si="2"/>
        <v>0.10536051565782635</v>
      </c>
      <c r="I185">
        <f t="shared" si="3"/>
        <v>3.3333333333333326E-2</v>
      </c>
      <c r="J185">
        <f t="shared" si="4"/>
        <v>3.5120171885942111E-3</v>
      </c>
    </row>
    <row r="186" spans="1:12" x14ac:dyDescent="0.3">
      <c r="A186" t="s">
        <v>253</v>
      </c>
      <c r="B186" t="s">
        <v>177</v>
      </c>
      <c r="C186" t="s">
        <v>481</v>
      </c>
      <c r="D186">
        <v>2</v>
      </c>
      <c r="E186">
        <v>2</v>
      </c>
      <c r="F186">
        <f t="shared" si="5"/>
        <v>0.33333333333333331</v>
      </c>
      <c r="G186">
        <f t="shared" si="1"/>
        <v>0.2</v>
      </c>
      <c r="H186">
        <f t="shared" si="2"/>
        <v>0.51082562376599061</v>
      </c>
      <c r="I186">
        <f t="shared" si="3"/>
        <v>0.1333333333333333</v>
      </c>
      <c r="J186">
        <f t="shared" si="4"/>
        <v>6.8110083168798727E-2</v>
      </c>
      <c r="K186">
        <f>J186+J187+J188+J189</f>
        <v>0.15607104090414062</v>
      </c>
      <c r="L186" t="s">
        <v>501</v>
      </c>
    </row>
    <row r="187" spans="1:12" x14ac:dyDescent="0.3">
      <c r="C187" t="s">
        <v>480</v>
      </c>
      <c r="D187">
        <v>1</v>
      </c>
      <c r="E187">
        <v>2</v>
      </c>
      <c r="F187">
        <f t="shared" si="5"/>
        <v>0.16666666666666666</v>
      </c>
      <c r="G187">
        <f t="shared" si="1"/>
        <v>0.2</v>
      </c>
      <c r="H187">
        <f t="shared" si="2"/>
        <v>-0.1823215567939547</v>
      </c>
      <c r="I187">
        <f t="shared" si="3"/>
        <v>-3.3333333333333354E-2</v>
      </c>
      <c r="J187">
        <f t="shared" si="4"/>
        <v>6.0773852264651602E-3</v>
      </c>
    </row>
    <row r="188" spans="1:12" x14ac:dyDescent="0.3">
      <c r="C188" t="s">
        <v>491</v>
      </c>
      <c r="D188">
        <v>1</v>
      </c>
      <c r="E188">
        <v>3</v>
      </c>
      <c r="F188">
        <f t="shared" si="5"/>
        <v>0.16666666666666666</v>
      </c>
      <c r="G188">
        <f t="shared" si="1"/>
        <v>0.3</v>
      </c>
      <c r="H188">
        <f t="shared" si="2"/>
        <v>-0.58778666490211895</v>
      </c>
      <c r="I188">
        <f t="shared" si="3"/>
        <v>-0.13333333333333333</v>
      </c>
      <c r="J188">
        <f t="shared" si="4"/>
        <v>7.8371555320282532E-2</v>
      </c>
    </row>
    <row r="189" spans="1:12" x14ac:dyDescent="0.3">
      <c r="C189" t="s">
        <v>492</v>
      </c>
      <c r="D189">
        <v>2</v>
      </c>
      <c r="E189">
        <v>3</v>
      </c>
      <c r="F189">
        <f t="shared" si="5"/>
        <v>0.33333333333333331</v>
      </c>
      <c r="G189">
        <f t="shared" si="1"/>
        <v>0.3</v>
      </c>
      <c r="H189">
        <f t="shared" si="2"/>
        <v>0.10536051565782635</v>
      </c>
      <c r="I189">
        <f t="shared" si="3"/>
        <v>3.3333333333333326E-2</v>
      </c>
      <c r="J189">
        <f t="shared" si="4"/>
        <v>3.5120171885942111E-3</v>
      </c>
    </row>
    <row r="190" spans="1:12" x14ac:dyDescent="0.3">
      <c r="A190" t="s">
        <v>254</v>
      </c>
      <c r="B190" t="s">
        <v>178</v>
      </c>
      <c r="C190" t="s">
        <v>481</v>
      </c>
      <c r="D190">
        <v>1</v>
      </c>
      <c r="E190">
        <v>2</v>
      </c>
      <c r="F190">
        <f t="shared" si="5"/>
        <v>0.16666666666666666</v>
      </c>
      <c r="G190">
        <f t="shared" si="1"/>
        <v>0.2</v>
      </c>
      <c r="H190">
        <f t="shared" si="2"/>
        <v>-0.1823215567939547</v>
      </c>
      <c r="I190">
        <f t="shared" si="3"/>
        <v>-3.3333333333333354E-2</v>
      </c>
      <c r="J190">
        <f t="shared" si="4"/>
        <v>6.0773852264651602E-3</v>
      </c>
      <c r="K190">
        <f>J190+J191+J192+J193</f>
        <v>0.9325001442362979</v>
      </c>
    </row>
    <row r="191" spans="1:12" x14ac:dyDescent="0.3">
      <c r="C191" t="s">
        <v>480</v>
      </c>
      <c r="D191">
        <v>1</v>
      </c>
      <c r="E191">
        <v>4</v>
      </c>
      <c r="F191">
        <f t="shared" si="5"/>
        <v>0.16666666666666666</v>
      </c>
      <c r="G191">
        <f t="shared" si="1"/>
        <v>0.4</v>
      </c>
      <c r="H191">
        <f t="shared" si="2"/>
        <v>-0.87546873735390007</v>
      </c>
      <c r="I191">
        <f t="shared" si="3"/>
        <v>-0.23333333333333336</v>
      </c>
      <c r="J191">
        <f t="shared" si="4"/>
        <v>0.20427603871591005</v>
      </c>
    </row>
    <row r="192" spans="1:12" x14ac:dyDescent="0.3">
      <c r="C192" t="s">
        <v>491</v>
      </c>
      <c r="D192">
        <v>3</v>
      </c>
      <c r="E192">
        <v>1</v>
      </c>
      <c r="F192">
        <f t="shared" si="5"/>
        <v>0.5</v>
      </c>
      <c r="G192">
        <f t="shared" si="1"/>
        <v>0.1</v>
      </c>
      <c r="H192">
        <f t="shared" si="2"/>
        <v>1.6094379124341003</v>
      </c>
      <c r="I192">
        <f t="shared" si="3"/>
        <v>0.4</v>
      </c>
      <c r="J192">
        <f t="shared" si="4"/>
        <v>0.64377516497364018</v>
      </c>
    </row>
    <row r="193" spans="1:12" x14ac:dyDescent="0.3">
      <c r="C193" t="s">
        <v>492</v>
      </c>
      <c r="D193">
        <v>1</v>
      </c>
      <c r="E193">
        <v>3</v>
      </c>
      <c r="F193">
        <f t="shared" si="5"/>
        <v>0.16666666666666666</v>
      </c>
      <c r="G193">
        <f t="shared" si="1"/>
        <v>0.3</v>
      </c>
      <c r="H193">
        <f t="shared" si="2"/>
        <v>-0.58778666490211895</v>
      </c>
      <c r="I193">
        <f t="shared" si="3"/>
        <v>-0.13333333333333333</v>
      </c>
      <c r="J193">
        <f t="shared" si="4"/>
        <v>7.8371555320282532E-2</v>
      </c>
    </row>
    <row r="194" spans="1:12" x14ac:dyDescent="0.3">
      <c r="A194" t="s">
        <v>255</v>
      </c>
      <c r="B194" t="s">
        <v>179</v>
      </c>
      <c r="C194" t="s">
        <v>481</v>
      </c>
      <c r="D194">
        <v>3</v>
      </c>
      <c r="E194">
        <v>1</v>
      </c>
      <c r="F194">
        <f t="shared" si="5"/>
        <v>0.5</v>
      </c>
      <c r="G194">
        <f t="shared" si="1"/>
        <v>0.1</v>
      </c>
      <c r="H194">
        <f t="shared" si="2"/>
        <v>1.6094379124341003</v>
      </c>
      <c r="I194">
        <f t="shared" si="3"/>
        <v>0.4</v>
      </c>
      <c r="J194">
        <f t="shared" si="4"/>
        <v>0.64377516497364018</v>
      </c>
      <c r="K194">
        <f>J194+J195+J196</f>
        <v>1.2023585151957956</v>
      </c>
    </row>
    <row r="195" spans="1:12" x14ac:dyDescent="0.3">
      <c r="C195" t="s">
        <v>493</v>
      </c>
      <c r="D195">
        <v>1</v>
      </c>
      <c r="E195">
        <v>6</v>
      </c>
      <c r="F195">
        <f t="shared" si="5"/>
        <v>0.16666666666666666</v>
      </c>
      <c r="G195">
        <f t="shared" si="1"/>
        <v>0.6</v>
      </c>
      <c r="H195">
        <f t="shared" si="2"/>
        <v>-1.2809338454620642</v>
      </c>
      <c r="I195">
        <f t="shared" si="3"/>
        <v>-0.43333333333333335</v>
      </c>
      <c r="J195">
        <f t="shared" si="4"/>
        <v>0.55507133303356115</v>
      </c>
    </row>
    <row r="196" spans="1:12" x14ac:dyDescent="0.3">
      <c r="C196" t="s">
        <v>492</v>
      </c>
      <c r="D196">
        <v>2</v>
      </c>
      <c r="E196">
        <v>3</v>
      </c>
      <c r="F196">
        <f t="shared" si="5"/>
        <v>0.33333333333333331</v>
      </c>
      <c r="G196">
        <f t="shared" si="1"/>
        <v>0.3</v>
      </c>
      <c r="H196">
        <f t="shared" si="2"/>
        <v>0.10536051565782635</v>
      </c>
      <c r="I196">
        <f t="shared" si="3"/>
        <v>3.3333333333333326E-2</v>
      </c>
      <c r="J196">
        <f t="shared" si="4"/>
        <v>3.5120171885942111E-3</v>
      </c>
    </row>
    <row r="197" spans="1:12" x14ac:dyDescent="0.3">
      <c r="A197" t="s">
        <v>256</v>
      </c>
      <c r="B197" t="s">
        <v>180</v>
      </c>
      <c r="C197" t="s">
        <v>481</v>
      </c>
      <c r="D197">
        <v>3</v>
      </c>
      <c r="E197">
        <v>3</v>
      </c>
      <c r="F197">
        <f t="shared" si="5"/>
        <v>0.5</v>
      </c>
      <c r="G197">
        <f t="shared" si="1"/>
        <v>0.3</v>
      </c>
      <c r="H197">
        <f t="shared" si="2"/>
        <v>0.51082562376599072</v>
      </c>
      <c r="I197">
        <f t="shared" si="3"/>
        <v>0.2</v>
      </c>
      <c r="J197">
        <f t="shared" si="4"/>
        <v>0.10216512475319815</v>
      </c>
      <c r="K197">
        <f>J197+J198+J199</f>
        <v>0.30995318065770244</v>
      </c>
    </row>
    <row r="198" spans="1:12" x14ac:dyDescent="0.3">
      <c r="C198" t="s">
        <v>493</v>
      </c>
      <c r="D198">
        <v>1</v>
      </c>
      <c r="E198">
        <v>4</v>
      </c>
      <c r="F198">
        <f t="shared" si="5"/>
        <v>0.16666666666666666</v>
      </c>
      <c r="G198">
        <f t="shared" si="1"/>
        <v>0.4</v>
      </c>
      <c r="H198">
        <f t="shared" si="2"/>
        <v>-0.87546873735390007</v>
      </c>
      <c r="I198">
        <f t="shared" si="3"/>
        <v>-0.23333333333333336</v>
      </c>
      <c r="J198">
        <f t="shared" si="4"/>
        <v>0.20427603871591005</v>
      </c>
    </row>
    <row r="199" spans="1:12" x14ac:dyDescent="0.3">
      <c r="C199" t="s">
        <v>492</v>
      </c>
      <c r="D199">
        <v>2</v>
      </c>
      <c r="E199">
        <v>3</v>
      </c>
      <c r="F199">
        <f t="shared" si="5"/>
        <v>0.33333333333333331</v>
      </c>
      <c r="G199">
        <f t="shared" si="1"/>
        <v>0.3</v>
      </c>
      <c r="H199">
        <f t="shared" si="2"/>
        <v>0.10536051565782635</v>
      </c>
      <c r="I199">
        <f t="shared" si="3"/>
        <v>3.3333333333333326E-2</v>
      </c>
      <c r="J199">
        <f t="shared" si="4"/>
        <v>3.5120171885942111E-3</v>
      </c>
    </row>
    <row r="200" spans="1:12" x14ac:dyDescent="0.3">
      <c r="A200" t="s">
        <v>257</v>
      </c>
      <c r="B200" t="s">
        <v>181</v>
      </c>
      <c r="C200" t="s">
        <v>481</v>
      </c>
      <c r="D200">
        <v>2</v>
      </c>
      <c r="E200">
        <v>2</v>
      </c>
      <c r="F200">
        <f t="shared" si="5"/>
        <v>0.33333333333333331</v>
      </c>
      <c r="G200">
        <f t="shared" si="1"/>
        <v>0.2</v>
      </c>
      <c r="H200">
        <f t="shared" si="2"/>
        <v>0.51082562376599061</v>
      </c>
      <c r="I200">
        <f t="shared" si="3"/>
        <v>0.1333333333333333</v>
      </c>
      <c r="J200">
        <f t="shared" si="4"/>
        <v>6.8110083168798727E-2</v>
      </c>
      <c r="K200">
        <f>J200+J201+J202</f>
        <v>0.13919961837542036</v>
      </c>
      <c r="L200" t="s">
        <v>501</v>
      </c>
    </row>
    <row r="201" spans="1:12" x14ac:dyDescent="0.3">
      <c r="C201" t="s">
        <v>480</v>
      </c>
      <c r="D201">
        <v>2</v>
      </c>
      <c r="E201">
        <v>3</v>
      </c>
      <c r="F201">
        <f t="shared" si="5"/>
        <v>0.33333333333333331</v>
      </c>
      <c r="G201">
        <f t="shared" si="1"/>
        <v>0.3</v>
      </c>
      <c r="H201">
        <f t="shared" si="2"/>
        <v>0.10536051565782635</v>
      </c>
      <c r="I201">
        <f t="shared" si="3"/>
        <v>3.3333333333333326E-2</v>
      </c>
      <c r="J201">
        <f t="shared" si="4"/>
        <v>3.5120171885942111E-3</v>
      </c>
    </row>
    <row r="202" spans="1:12" x14ac:dyDescent="0.3">
      <c r="C202" t="s">
        <v>488</v>
      </c>
      <c r="D202">
        <v>2</v>
      </c>
      <c r="E202">
        <v>5</v>
      </c>
      <c r="F202">
        <f t="shared" si="5"/>
        <v>0.33333333333333331</v>
      </c>
      <c r="G202">
        <f t="shared" si="1"/>
        <v>0.5</v>
      </c>
      <c r="H202">
        <f t="shared" si="2"/>
        <v>-0.40546510810816444</v>
      </c>
      <c r="I202">
        <f t="shared" si="3"/>
        <v>-0.16666666666666669</v>
      </c>
      <c r="J202">
        <f t="shared" si="4"/>
        <v>6.7577518018027416E-2</v>
      </c>
    </row>
    <row r="203" spans="1:12" x14ac:dyDescent="0.3">
      <c r="A203" t="s">
        <v>258</v>
      </c>
      <c r="B203" t="s">
        <v>182</v>
      </c>
      <c r="C203" t="s">
        <v>495</v>
      </c>
      <c r="D203">
        <v>4</v>
      </c>
      <c r="E203">
        <v>7</v>
      </c>
      <c r="F203">
        <f t="shared" si="5"/>
        <v>0.66666666666666663</v>
      </c>
      <c r="G203">
        <f t="shared" si="1"/>
        <v>0.7</v>
      </c>
      <c r="H203">
        <f t="shared" si="2"/>
        <v>-4.8790164169431945E-2</v>
      </c>
      <c r="I203">
        <f t="shared" si="3"/>
        <v>-3.3333333333333326E-2</v>
      </c>
      <c r="J203">
        <f t="shared" si="4"/>
        <v>1.6263388056477312E-3</v>
      </c>
      <c r="K203">
        <f>J203+J204</f>
        <v>5.1383559942419421E-3</v>
      </c>
      <c r="L203" t="s">
        <v>501</v>
      </c>
    </row>
    <row r="204" spans="1:12" x14ac:dyDescent="0.3">
      <c r="C204" t="s">
        <v>496</v>
      </c>
      <c r="D204">
        <v>2</v>
      </c>
      <c r="E204">
        <v>3</v>
      </c>
      <c r="F204">
        <f t="shared" si="5"/>
        <v>0.33333333333333331</v>
      </c>
      <c r="G204">
        <f t="shared" si="1"/>
        <v>0.3</v>
      </c>
      <c r="H204">
        <f t="shared" si="2"/>
        <v>0.10536051565782635</v>
      </c>
      <c r="I204">
        <f t="shared" si="3"/>
        <v>3.3333333333333326E-2</v>
      </c>
      <c r="J204">
        <f t="shared" si="4"/>
        <v>3.5120171885942111E-3</v>
      </c>
    </row>
    <row r="205" spans="1:12" x14ac:dyDescent="0.3">
      <c r="A205" t="s">
        <v>259</v>
      </c>
      <c r="B205" t="s">
        <v>183</v>
      </c>
      <c r="C205" t="s">
        <v>481</v>
      </c>
      <c r="D205">
        <v>1</v>
      </c>
      <c r="E205">
        <v>2</v>
      </c>
      <c r="F205">
        <f t="shared" si="5"/>
        <v>0.16666666666666666</v>
      </c>
      <c r="G205">
        <f t="shared" si="1"/>
        <v>0.2</v>
      </c>
      <c r="H205">
        <f t="shared" si="2"/>
        <v>-0.1823215567939547</v>
      </c>
      <c r="I205">
        <f t="shared" si="3"/>
        <v>-3.3333333333333354E-2</v>
      </c>
      <c r="J205">
        <f t="shared" si="4"/>
        <v>6.0773852264651602E-3</v>
      </c>
      <c r="K205">
        <f>J205+J206+J207+J208</f>
        <v>0.34657359027997264</v>
      </c>
    </row>
    <row r="206" spans="1:12" x14ac:dyDescent="0.3">
      <c r="C206" t="s">
        <v>480</v>
      </c>
      <c r="D206">
        <v>2</v>
      </c>
      <c r="E206">
        <v>2</v>
      </c>
      <c r="F206">
        <f t="shared" si="5"/>
        <v>0.33333333333333331</v>
      </c>
      <c r="G206">
        <f t="shared" si="1"/>
        <v>0.2</v>
      </c>
      <c r="H206">
        <f t="shared" si="2"/>
        <v>0.51082562376599061</v>
      </c>
      <c r="I206">
        <f t="shared" si="3"/>
        <v>0.1333333333333333</v>
      </c>
      <c r="J206">
        <f t="shared" si="4"/>
        <v>6.8110083168798727E-2</v>
      </c>
    </row>
    <row r="207" spans="1:12" x14ac:dyDescent="0.3">
      <c r="C207" t="s">
        <v>491</v>
      </c>
      <c r="D207">
        <v>2</v>
      </c>
      <c r="E207">
        <v>2</v>
      </c>
      <c r="F207">
        <f t="shared" si="5"/>
        <v>0.33333333333333331</v>
      </c>
      <c r="G207">
        <f t="shared" si="1"/>
        <v>0.2</v>
      </c>
      <c r="H207">
        <f t="shared" si="2"/>
        <v>0.51082562376599061</v>
      </c>
      <c r="I207">
        <f t="shared" si="3"/>
        <v>0.1333333333333333</v>
      </c>
      <c r="J207">
        <f t="shared" si="4"/>
        <v>6.8110083168798727E-2</v>
      </c>
    </row>
    <row r="208" spans="1:12" x14ac:dyDescent="0.3">
      <c r="C208" t="s">
        <v>492</v>
      </c>
      <c r="D208">
        <v>1</v>
      </c>
      <c r="E208">
        <v>4</v>
      </c>
      <c r="F208">
        <f t="shared" si="5"/>
        <v>0.16666666666666666</v>
      </c>
      <c r="G208">
        <f t="shared" si="1"/>
        <v>0.4</v>
      </c>
      <c r="H208">
        <f t="shared" si="2"/>
        <v>-0.87546873735390007</v>
      </c>
      <c r="I208">
        <f t="shared" si="3"/>
        <v>-0.23333333333333336</v>
      </c>
      <c r="J208">
        <f t="shared" si="4"/>
        <v>0.20427603871591005</v>
      </c>
    </row>
    <row r="209" spans="1:12" x14ac:dyDescent="0.3">
      <c r="A209" t="s">
        <v>260</v>
      </c>
      <c r="B209" t="s">
        <v>184</v>
      </c>
      <c r="C209" t="s">
        <v>481</v>
      </c>
      <c r="D209">
        <v>2</v>
      </c>
      <c r="E209">
        <v>2</v>
      </c>
      <c r="F209">
        <f t="shared" si="5"/>
        <v>0.33333333333333331</v>
      </c>
      <c r="G209">
        <f t="shared" si="1"/>
        <v>0.2</v>
      </c>
      <c r="H209">
        <f t="shared" si="2"/>
        <v>0.51082562376599061</v>
      </c>
      <c r="I209">
        <f t="shared" si="3"/>
        <v>0.1333333333333333</v>
      </c>
      <c r="J209">
        <f t="shared" si="4"/>
        <v>6.8110083168798727E-2</v>
      </c>
      <c r="K209">
        <f>J209+J210+J211+J212</f>
        <v>0.3465735902799727</v>
      </c>
    </row>
    <row r="210" spans="1:12" x14ac:dyDescent="0.3">
      <c r="C210" t="s">
        <v>480</v>
      </c>
      <c r="D210">
        <v>2</v>
      </c>
      <c r="E210">
        <v>2</v>
      </c>
      <c r="F210">
        <f t="shared" si="5"/>
        <v>0.33333333333333331</v>
      </c>
      <c r="G210">
        <f t="shared" si="1"/>
        <v>0.2</v>
      </c>
      <c r="H210">
        <f t="shared" si="2"/>
        <v>0.51082562376599061</v>
      </c>
      <c r="I210">
        <f t="shared" si="3"/>
        <v>0.1333333333333333</v>
      </c>
      <c r="J210">
        <f t="shared" si="4"/>
        <v>6.8110083168798727E-2</v>
      </c>
    </row>
    <row r="211" spans="1:12" x14ac:dyDescent="0.3">
      <c r="C211" t="s">
        <v>491</v>
      </c>
      <c r="D211">
        <v>1</v>
      </c>
      <c r="E211">
        <v>2</v>
      </c>
      <c r="F211">
        <f t="shared" si="5"/>
        <v>0.16666666666666666</v>
      </c>
      <c r="G211">
        <f t="shared" si="1"/>
        <v>0.2</v>
      </c>
      <c r="H211">
        <f t="shared" si="2"/>
        <v>-0.1823215567939547</v>
      </c>
      <c r="I211">
        <f t="shared" si="3"/>
        <v>-3.3333333333333354E-2</v>
      </c>
      <c r="J211">
        <f t="shared" si="4"/>
        <v>6.0773852264651602E-3</v>
      </c>
    </row>
    <row r="212" spans="1:12" x14ac:dyDescent="0.3">
      <c r="C212" t="s">
        <v>492</v>
      </c>
      <c r="D212">
        <v>1</v>
      </c>
      <c r="E212">
        <v>4</v>
      </c>
      <c r="F212">
        <f t="shared" si="5"/>
        <v>0.16666666666666666</v>
      </c>
      <c r="G212">
        <f t="shared" si="1"/>
        <v>0.4</v>
      </c>
      <c r="H212">
        <f t="shared" si="2"/>
        <v>-0.87546873735390007</v>
      </c>
      <c r="I212">
        <f t="shared" si="3"/>
        <v>-0.23333333333333336</v>
      </c>
      <c r="J212">
        <f t="shared" si="4"/>
        <v>0.20427603871591005</v>
      </c>
    </row>
    <row r="213" spans="1:12" x14ac:dyDescent="0.3">
      <c r="A213" t="s">
        <v>261</v>
      </c>
      <c r="B213" t="s">
        <v>185</v>
      </c>
      <c r="C213" t="s">
        <v>481</v>
      </c>
      <c r="D213">
        <v>1</v>
      </c>
      <c r="E213">
        <v>3</v>
      </c>
      <c r="F213">
        <f t="shared" si="5"/>
        <v>0.16666666666666666</v>
      </c>
      <c r="G213">
        <f t="shared" si="1"/>
        <v>0.3</v>
      </c>
      <c r="H213">
        <f t="shared" si="2"/>
        <v>-0.58778666490211895</v>
      </c>
      <c r="I213">
        <f t="shared" si="3"/>
        <v>-0.13333333333333333</v>
      </c>
      <c r="J213">
        <f t="shared" si="4"/>
        <v>7.8371555320282532E-2</v>
      </c>
      <c r="K213">
        <f>J213+J214+J215+J216</f>
        <v>0.43770771542927678</v>
      </c>
    </row>
    <row r="214" spans="1:12" x14ac:dyDescent="0.3">
      <c r="C214" t="s">
        <v>480</v>
      </c>
      <c r="D214">
        <v>3</v>
      </c>
      <c r="E214">
        <v>2</v>
      </c>
      <c r="F214">
        <f t="shared" si="5"/>
        <v>0.5</v>
      </c>
      <c r="G214">
        <f t="shared" si="1"/>
        <v>0.2</v>
      </c>
      <c r="H214">
        <f t="shared" si="2"/>
        <v>0.91629073187415511</v>
      </c>
      <c r="I214">
        <f t="shared" si="3"/>
        <v>0.3</v>
      </c>
      <c r="J214">
        <f t="shared" si="4"/>
        <v>0.27488721956224654</v>
      </c>
    </row>
    <row r="215" spans="1:12" x14ac:dyDescent="0.3">
      <c r="C215" t="s">
        <v>491</v>
      </c>
      <c r="D215">
        <v>1</v>
      </c>
      <c r="E215">
        <v>2</v>
      </c>
      <c r="F215">
        <f t="shared" si="5"/>
        <v>0.16666666666666666</v>
      </c>
      <c r="G215">
        <f t="shared" si="1"/>
        <v>0.2</v>
      </c>
      <c r="H215">
        <f t="shared" si="2"/>
        <v>-0.1823215567939547</v>
      </c>
      <c r="I215">
        <f t="shared" si="3"/>
        <v>-3.3333333333333354E-2</v>
      </c>
      <c r="J215">
        <f t="shared" si="4"/>
        <v>6.0773852264651602E-3</v>
      </c>
    </row>
    <row r="216" spans="1:12" x14ac:dyDescent="0.3">
      <c r="C216" t="s">
        <v>492</v>
      </c>
      <c r="D216">
        <v>1</v>
      </c>
      <c r="E216">
        <v>3</v>
      </c>
      <c r="F216">
        <f t="shared" si="5"/>
        <v>0.16666666666666666</v>
      </c>
      <c r="G216">
        <f t="shared" si="1"/>
        <v>0.3</v>
      </c>
      <c r="H216">
        <f t="shared" si="2"/>
        <v>-0.58778666490211895</v>
      </c>
      <c r="I216">
        <f t="shared" si="3"/>
        <v>-0.13333333333333333</v>
      </c>
      <c r="J216">
        <f t="shared" si="4"/>
        <v>7.8371555320282532E-2</v>
      </c>
    </row>
    <row r="217" spans="1:12" x14ac:dyDescent="0.3">
      <c r="A217" t="s">
        <v>262</v>
      </c>
      <c r="B217" t="s">
        <v>186</v>
      </c>
      <c r="C217" t="s">
        <v>495</v>
      </c>
      <c r="D217">
        <v>5</v>
      </c>
      <c r="E217">
        <v>7</v>
      </c>
      <c r="F217">
        <f t="shared" si="5"/>
        <v>0.83333333333333337</v>
      </c>
      <c r="G217">
        <f t="shared" si="1"/>
        <v>0.7</v>
      </c>
      <c r="H217">
        <f t="shared" si="2"/>
        <v>0.17435338714477794</v>
      </c>
      <c r="I217">
        <f t="shared" si="3"/>
        <v>0.13333333333333341</v>
      </c>
      <c r="J217">
        <f t="shared" si="4"/>
        <v>2.3247118285970404E-2</v>
      </c>
      <c r="K217">
        <f>J217+J218</f>
        <v>0.10161867360625293</v>
      </c>
      <c r="L217" t="s">
        <v>501</v>
      </c>
    </row>
    <row r="218" spans="1:12" x14ac:dyDescent="0.3">
      <c r="C218" t="s">
        <v>496</v>
      </c>
      <c r="D218">
        <v>1</v>
      </c>
      <c r="E218">
        <v>3</v>
      </c>
      <c r="F218">
        <f t="shared" si="5"/>
        <v>0.16666666666666666</v>
      </c>
      <c r="G218">
        <f t="shared" si="1"/>
        <v>0.3</v>
      </c>
      <c r="H218">
        <f t="shared" si="2"/>
        <v>-0.58778666490211895</v>
      </c>
      <c r="I218">
        <f t="shared" si="3"/>
        <v>-0.13333333333333333</v>
      </c>
      <c r="J218">
        <f t="shared" si="4"/>
        <v>7.8371555320282532E-2</v>
      </c>
    </row>
    <row r="219" spans="1:12" x14ac:dyDescent="0.3">
      <c r="A219" t="s">
        <v>263</v>
      </c>
      <c r="B219" t="s">
        <v>187</v>
      </c>
      <c r="C219" t="s">
        <v>495</v>
      </c>
      <c r="D219">
        <v>5</v>
      </c>
      <c r="E219">
        <v>7</v>
      </c>
      <c r="F219">
        <f t="shared" si="5"/>
        <v>0.83333333333333337</v>
      </c>
      <c r="G219">
        <f t="shared" si="1"/>
        <v>0.7</v>
      </c>
      <c r="H219">
        <f t="shared" si="2"/>
        <v>0.17435338714477794</v>
      </c>
      <c r="I219">
        <f t="shared" si="3"/>
        <v>0.13333333333333341</v>
      </c>
      <c r="J219">
        <f t="shared" si="4"/>
        <v>2.3247118285970404E-2</v>
      </c>
      <c r="K219">
        <f>J219+J220</f>
        <v>0.10161867360625293</v>
      </c>
      <c r="L219" t="s">
        <v>501</v>
      </c>
    </row>
    <row r="220" spans="1:12" x14ac:dyDescent="0.3">
      <c r="C220" t="s">
        <v>496</v>
      </c>
      <c r="D220">
        <v>1</v>
      </c>
      <c r="E220">
        <v>3</v>
      </c>
      <c r="F220">
        <f t="shared" si="5"/>
        <v>0.16666666666666666</v>
      </c>
      <c r="G220">
        <f t="shared" si="1"/>
        <v>0.3</v>
      </c>
      <c r="H220">
        <f t="shared" si="2"/>
        <v>-0.58778666490211895</v>
      </c>
      <c r="I220">
        <f t="shared" si="3"/>
        <v>-0.13333333333333333</v>
      </c>
      <c r="J220">
        <f t="shared" si="4"/>
        <v>7.8371555320282532E-2</v>
      </c>
    </row>
    <row r="221" spans="1:12" x14ac:dyDescent="0.3">
      <c r="A221" t="s">
        <v>264</v>
      </c>
      <c r="B221" t="s">
        <v>189</v>
      </c>
      <c r="C221" t="s">
        <v>481</v>
      </c>
      <c r="D221">
        <v>2</v>
      </c>
      <c r="E221">
        <v>2</v>
      </c>
      <c r="F221">
        <f t="shared" si="5"/>
        <v>0.33333333333333331</v>
      </c>
      <c r="G221">
        <f t="shared" si="1"/>
        <v>0.2</v>
      </c>
      <c r="H221">
        <f t="shared" si="2"/>
        <v>0.51082562376599061</v>
      </c>
      <c r="I221">
        <f t="shared" si="3"/>
        <v>0.1333333333333333</v>
      </c>
      <c r="J221">
        <f t="shared" si="4"/>
        <v>6.8110083168798727E-2</v>
      </c>
      <c r="K221">
        <f>J221+J222+J223+J224</f>
        <v>0.29296327697816249</v>
      </c>
    </row>
    <row r="222" spans="1:12" x14ac:dyDescent="0.3">
      <c r="C222" t="s">
        <v>480</v>
      </c>
      <c r="D222">
        <v>2</v>
      </c>
      <c r="E222">
        <v>2</v>
      </c>
      <c r="F222">
        <f t="shared" si="5"/>
        <v>0.33333333333333331</v>
      </c>
      <c r="G222">
        <f t="shared" si="1"/>
        <v>0.2</v>
      </c>
      <c r="H222">
        <f t="shared" si="2"/>
        <v>0.51082562376599061</v>
      </c>
      <c r="I222">
        <f t="shared" si="3"/>
        <v>0.1333333333333333</v>
      </c>
      <c r="J222">
        <f t="shared" si="4"/>
        <v>6.8110083168798727E-2</v>
      </c>
    </row>
    <row r="223" spans="1:12" x14ac:dyDescent="0.3">
      <c r="C223" t="s">
        <v>491</v>
      </c>
      <c r="D223">
        <v>1</v>
      </c>
      <c r="E223">
        <v>3</v>
      </c>
      <c r="F223">
        <f t="shared" si="5"/>
        <v>0.16666666666666666</v>
      </c>
      <c r="G223">
        <f t="shared" si="1"/>
        <v>0.3</v>
      </c>
      <c r="H223">
        <f t="shared" si="2"/>
        <v>-0.58778666490211895</v>
      </c>
      <c r="I223">
        <f t="shared" si="3"/>
        <v>-0.13333333333333333</v>
      </c>
      <c r="J223">
        <f t="shared" si="4"/>
        <v>7.8371555320282532E-2</v>
      </c>
    </row>
    <row r="224" spans="1:12" x14ac:dyDescent="0.3">
      <c r="C224" t="s">
        <v>492</v>
      </c>
      <c r="D224">
        <v>1</v>
      </c>
      <c r="E224">
        <v>3</v>
      </c>
      <c r="F224">
        <f t="shared" si="5"/>
        <v>0.16666666666666666</v>
      </c>
      <c r="G224">
        <f t="shared" si="1"/>
        <v>0.3</v>
      </c>
      <c r="H224">
        <f t="shared" si="2"/>
        <v>-0.58778666490211895</v>
      </c>
      <c r="I224">
        <f t="shared" si="3"/>
        <v>-0.13333333333333333</v>
      </c>
      <c r="J224">
        <f t="shared" si="4"/>
        <v>7.8371555320282532E-2</v>
      </c>
    </row>
    <row r="225" spans="1:12" x14ac:dyDescent="0.3">
      <c r="A225" t="s">
        <v>265</v>
      </c>
      <c r="B225" t="s">
        <v>190</v>
      </c>
      <c r="C225" t="s">
        <v>481</v>
      </c>
      <c r="D225">
        <v>2</v>
      </c>
      <c r="E225">
        <v>2</v>
      </c>
      <c r="F225">
        <f t="shared" si="5"/>
        <v>0.33333333333333331</v>
      </c>
      <c r="G225">
        <f t="shared" si="1"/>
        <v>0.2</v>
      </c>
      <c r="H225">
        <f t="shared" si="2"/>
        <v>0.51082562376599061</v>
      </c>
      <c r="I225">
        <f t="shared" si="3"/>
        <v>0.1333333333333333</v>
      </c>
      <c r="J225">
        <f t="shared" si="4"/>
        <v>6.8110083168798727E-2</v>
      </c>
      <c r="K225">
        <f>J225+J226+J227+J228</f>
        <v>0.63168466488104302</v>
      </c>
    </row>
    <row r="226" spans="1:12" x14ac:dyDescent="0.3">
      <c r="C226" t="s">
        <v>480</v>
      </c>
      <c r="D226">
        <v>2</v>
      </c>
      <c r="E226">
        <v>1</v>
      </c>
      <c r="F226">
        <f t="shared" si="5"/>
        <v>0.33333333333333331</v>
      </c>
      <c r="G226">
        <f t="shared" si="1"/>
        <v>0.1</v>
      </c>
      <c r="H226">
        <f t="shared" si="2"/>
        <v>1.2039728043259359</v>
      </c>
      <c r="I226">
        <f t="shared" si="3"/>
        <v>0.23333333333333331</v>
      </c>
      <c r="J226">
        <f t="shared" si="4"/>
        <v>0.28092698767605168</v>
      </c>
    </row>
    <row r="227" spans="1:12" x14ac:dyDescent="0.3">
      <c r="C227" t="s">
        <v>491</v>
      </c>
      <c r="D227">
        <v>1</v>
      </c>
      <c r="E227">
        <v>3</v>
      </c>
      <c r="F227">
        <f t="shared" si="5"/>
        <v>0.16666666666666666</v>
      </c>
      <c r="G227">
        <f t="shared" si="1"/>
        <v>0.3</v>
      </c>
      <c r="H227">
        <f t="shared" si="2"/>
        <v>-0.58778666490211895</v>
      </c>
      <c r="I227">
        <f t="shared" si="3"/>
        <v>-0.13333333333333333</v>
      </c>
      <c r="J227">
        <f t="shared" si="4"/>
        <v>7.8371555320282532E-2</v>
      </c>
    </row>
    <row r="228" spans="1:12" x14ac:dyDescent="0.3">
      <c r="C228" t="s">
        <v>492</v>
      </c>
      <c r="D228">
        <v>1</v>
      </c>
      <c r="E228">
        <v>4</v>
      </c>
      <c r="F228">
        <f t="shared" si="5"/>
        <v>0.16666666666666666</v>
      </c>
      <c r="G228">
        <f t="shared" si="1"/>
        <v>0.4</v>
      </c>
      <c r="H228">
        <f t="shared" si="2"/>
        <v>-0.87546873735390007</v>
      </c>
      <c r="I228">
        <f t="shared" si="3"/>
        <v>-0.23333333333333336</v>
      </c>
      <c r="J228">
        <f t="shared" si="4"/>
        <v>0.20427603871591005</v>
      </c>
    </row>
    <row r="229" spans="1:12" x14ac:dyDescent="0.3">
      <c r="A229" t="s">
        <v>266</v>
      </c>
      <c r="B229" t="s">
        <v>191</v>
      </c>
      <c r="C229" t="s">
        <v>497</v>
      </c>
      <c r="D229">
        <v>1</v>
      </c>
      <c r="E229">
        <v>3</v>
      </c>
      <c r="F229">
        <f t="shared" si="5"/>
        <v>0.16666666666666666</v>
      </c>
      <c r="G229">
        <f t="shared" si="1"/>
        <v>0.3</v>
      </c>
      <c r="H229">
        <f t="shared" si="2"/>
        <v>-0.58778666490211895</v>
      </c>
      <c r="I229">
        <f t="shared" si="3"/>
        <v>-0.13333333333333333</v>
      </c>
      <c r="J229">
        <f t="shared" si="4"/>
        <v>7.8371555320282532E-2</v>
      </c>
      <c r="K229">
        <f>J229+J230</f>
        <v>0.10161867360625293</v>
      </c>
      <c r="L229" t="s">
        <v>501</v>
      </c>
    </row>
    <row r="230" spans="1:12" x14ac:dyDescent="0.3">
      <c r="C230" t="s">
        <v>498</v>
      </c>
      <c r="D230">
        <v>5</v>
      </c>
      <c r="E230">
        <v>7</v>
      </c>
      <c r="F230">
        <f t="shared" si="5"/>
        <v>0.83333333333333337</v>
      </c>
      <c r="G230">
        <f t="shared" si="1"/>
        <v>0.7</v>
      </c>
      <c r="H230">
        <f t="shared" si="2"/>
        <v>0.17435338714477794</v>
      </c>
      <c r="I230">
        <f t="shared" si="3"/>
        <v>0.13333333333333341</v>
      </c>
      <c r="J230">
        <f t="shared" si="4"/>
        <v>2.3247118285970404E-2</v>
      </c>
    </row>
    <row r="231" spans="1:12" x14ac:dyDescent="0.3">
      <c r="A231" t="s">
        <v>267</v>
      </c>
      <c r="B231" t="s">
        <v>192</v>
      </c>
      <c r="C231" t="s">
        <v>494</v>
      </c>
      <c r="D231">
        <v>3</v>
      </c>
      <c r="E231">
        <v>5</v>
      </c>
      <c r="F231">
        <f t="shared" si="5"/>
        <v>0.5</v>
      </c>
      <c r="G231">
        <f t="shared" si="1"/>
        <v>0.5</v>
      </c>
      <c r="H231">
        <f t="shared" si="2"/>
        <v>0</v>
      </c>
      <c r="I231">
        <f t="shared" si="3"/>
        <v>0</v>
      </c>
      <c r="J231">
        <f t="shared" si="4"/>
        <v>0</v>
      </c>
      <c r="K231">
        <f>J231+J232+J233</f>
        <v>0.14648163848908125</v>
      </c>
      <c r="L231" t="s">
        <v>501</v>
      </c>
    </row>
    <row r="232" spans="1:12" x14ac:dyDescent="0.3">
      <c r="C232" t="s">
        <v>491</v>
      </c>
      <c r="D232">
        <v>2</v>
      </c>
      <c r="E232">
        <v>2</v>
      </c>
      <c r="F232">
        <f t="shared" si="5"/>
        <v>0.33333333333333331</v>
      </c>
      <c r="G232">
        <f t="shared" si="1"/>
        <v>0.2</v>
      </c>
      <c r="H232">
        <f t="shared" si="2"/>
        <v>0.51082562376599061</v>
      </c>
      <c r="I232">
        <f t="shared" si="3"/>
        <v>0.1333333333333333</v>
      </c>
      <c r="J232">
        <f t="shared" si="4"/>
        <v>6.8110083168798727E-2</v>
      </c>
    </row>
    <row r="233" spans="1:12" x14ac:dyDescent="0.3">
      <c r="C233" t="s">
        <v>492</v>
      </c>
      <c r="D233">
        <v>1</v>
      </c>
      <c r="E233">
        <v>3</v>
      </c>
      <c r="F233">
        <f t="shared" si="5"/>
        <v>0.16666666666666666</v>
      </c>
      <c r="G233">
        <f t="shared" si="1"/>
        <v>0.3</v>
      </c>
      <c r="H233">
        <f t="shared" si="2"/>
        <v>-0.58778666490211895</v>
      </c>
      <c r="I233">
        <f t="shared" si="3"/>
        <v>-0.13333333333333333</v>
      </c>
      <c r="J233">
        <f t="shared" si="4"/>
        <v>7.8371555320282532E-2</v>
      </c>
    </row>
    <row r="234" spans="1:12" x14ac:dyDescent="0.3">
      <c r="A234" t="s">
        <v>268</v>
      </c>
      <c r="B234" t="s">
        <v>193</v>
      </c>
      <c r="C234" t="s">
        <v>481</v>
      </c>
      <c r="D234">
        <v>1</v>
      </c>
      <c r="E234">
        <v>3</v>
      </c>
      <c r="F234">
        <f t="shared" si="5"/>
        <v>0.16666666666666666</v>
      </c>
      <c r="G234">
        <f t="shared" si="1"/>
        <v>0.3</v>
      </c>
      <c r="H234">
        <f t="shared" si="2"/>
        <v>-0.58778666490211895</v>
      </c>
      <c r="I234">
        <f t="shared" si="3"/>
        <v>-0.13333333333333333</v>
      </c>
      <c r="J234">
        <f t="shared" si="4"/>
        <v>7.8371555320282532E-2</v>
      </c>
      <c r="K234">
        <f>J234+J235+J236+J237</f>
        <v>0.63168466488104302</v>
      </c>
    </row>
    <row r="235" spans="1:12" x14ac:dyDescent="0.3">
      <c r="C235" t="s">
        <v>480</v>
      </c>
      <c r="D235">
        <v>2</v>
      </c>
      <c r="E235">
        <v>1</v>
      </c>
      <c r="F235">
        <f t="shared" si="5"/>
        <v>0.33333333333333331</v>
      </c>
      <c r="G235">
        <f t="shared" si="1"/>
        <v>0.1</v>
      </c>
      <c r="H235">
        <f t="shared" si="2"/>
        <v>1.2039728043259359</v>
      </c>
      <c r="I235">
        <f t="shared" si="3"/>
        <v>0.23333333333333331</v>
      </c>
      <c r="J235">
        <f t="shared" si="4"/>
        <v>0.28092698767605168</v>
      </c>
    </row>
    <row r="236" spans="1:12" x14ac:dyDescent="0.3">
      <c r="C236" t="s">
        <v>491</v>
      </c>
      <c r="D236">
        <v>2</v>
      </c>
      <c r="E236">
        <v>2</v>
      </c>
      <c r="F236">
        <f t="shared" si="5"/>
        <v>0.33333333333333331</v>
      </c>
      <c r="G236">
        <f t="shared" si="1"/>
        <v>0.2</v>
      </c>
      <c r="H236">
        <f t="shared" si="2"/>
        <v>0.51082562376599061</v>
      </c>
      <c r="I236">
        <f t="shared" si="3"/>
        <v>0.1333333333333333</v>
      </c>
      <c r="J236">
        <f t="shared" si="4"/>
        <v>6.8110083168798727E-2</v>
      </c>
    </row>
    <row r="237" spans="1:12" x14ac:dyDescent="0.3">
      <c r="C237" t="s">
        <v>492</v>
      </c>
      <c r="D237">
        <v>1</v>
      </c>
      <c r="E237">
        <v>4</v>
      </c>
      <c r="F237">
        <f t="shared" si="5"/>
        <v>0.16666666666666666</v>
      </c>
      <c r="G237">
        <f t="shared" si="1"/>
        <v>0.4</v>
      </c>
      <c r="H237">
        <f t="shared" si="2"/>
        <v>-0.87546873735390007</v>
      </c>
      <c r="I237">
        <f t="shared" si="3"/>
        <v>-0.23333333333333336</v>
      </c>
      <c r="J237">
        <f t="shared" si="4"/>
        <v>0.20427603871591005</v>
      </c>
    </row>
    <row r="238" spans="1:12" x14ac:dyDescent="0.3">
      <c r="A238" t="s">
        <v>269</v>
      </c>
      <c r="B238" t="s">
        <v>194</v>
      </c>
      <c r="C238" t="s">
        <v>481</v>
      </c>
      <c r="D238">
        <v>1</v>
      </c>
      <c r="E238">
        <v>4</v>
      </c>
      <c r="F238">
        <f t="shared" si="5"/>
        <v>0.16666666666666666</v>
      </c>
      <c r="G238">
        <f t="shared" si="1"/>
        <v>0.4</v>
      </c>
      <c r="H238">
        <f t="shared" si="2"/>
        <v>-0.87546873735390007</v>
      </c>
      <c r="I238">
        <f t="shared" si="3"/>
        <v>-0.23333333333333336</v>
      </c>
      <c r="J238">
        <f t="shared" si="4"/>
        <v>0.20427603871591005</v>
      </c>
      <c r="K238">
        <f>J238+J239+J240+J241</f>
        <v>0.63168466488104291</v>
      </c>
    </row>
    <row r="239" spans="1:12" x14ac:dyDescent="0.3">
      <c r="C239" t="s">
        <v>480</v>
      </c>
      <c r="D239">
        <v>2</v>
      </c>
      <c r="E239">
        <v>1</v>
      </c>
      <c r="F239">
        <f t="shared" si="5"/>
        <v>0.33333333333333331</v>
      </c>
      <c r="G239">
        <f t="shared" si="1"/>
        <v>0.1</v>
      </c>
      <c r="H239">
        <f t="shared" si="2"/>
        <v>1.2039728043259359</v>
      </c>
      <c r="I239">
        <f t="shared" si="3"/>
        <v>0.23333333333333331</v>
      </c>
      <c r="J239">
        <f t="shared" si="4"/>
        <v>0.28092698767605168</v>
      </c>
    </row>
    <row r="240" spans="1:12" x14ac:dyDescent="0.3">
      <c r="C240" t="s">
        <v>491</v>
      </c>
      <c r="D240">
        <v>2</v>
      </c>
      <c r="E240">
        <v>2</v>
      </c>
      <c r="F240">
        <f t="shared" si="5"/>
        <v>0.33333333333333331</v>
      </c>
      <c r="G240">
        <f t="shared" si="1"/>
        <v>0.2</v>
      </c>
      <c r="H240">
        <f t="shared" si="2"/>
        <v>0.51082562376599061</v>
      </c>
      <c r="I240">
        <f t="shared" si="3"/>
        <v>0.1333333333333333</v>
      </c>
      <c r="J240">
        <f t="shared" si="4"/>
        <v>6.8110083168798727E-2</v>
      </c>
    </row>
    <row r="241" spans="3:10" x14ac:dyDescent="0.3">
      <c r="C241" t="s">
        <v>492</v>
      </c>
      <c r="D241">
        <v>1</v>
      </c>
      <c r="E241">
        <v>3</v>
      </c>
      <c r="F241">
        <f t="shared" si="5"/>
        <v>0.16666666666666666</v>
      </c>
      <c r="G241">
        <f t="shared" si="1"/>
        <v>0.3</v>
      </c>
      <c r="H241">
        <f t="shared" si="2"/>
        <v>-0.58778666490211895</v>
      </c>
      <c r="I241">
        <f t="shared" si="3"/>
        <v>-0.13333333333333333</v>
      </c>
      <c r="J241">
        <f t="shared" si="4"/>
        <v>7.8371555320282532E-2</v>
      </c>
    </row>
  </sheetData>
  <mergeCells count="1">
    <mergeCell ref="B1:C1"/>
  </mergeCells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419F8-C1D3-4E2F-9349-4382118CFEE7}">
  <dimension ref="A1:Q86"/>
  <sheetViews>
    <sheetView workbookViewId="0">
      <selection activeCell="T10" sqref="T10"/>
    </sheetView>
  </sheetViews>
  <sheetFormatPr defaultRowHeight="14.4" x14ac:dyDescent="0.3"/>
  <cols>
    <col min="1" max="1" width="9.88671875" bestFit="1" customWidth="1"/>
  </cols>
  <sheetData>
    <row r="1" spans="1:17" x14ac:dyDescent="0.3">
      <c r="A1" t="s">
        <v>270</v>
      </c>
      <c r="B1" s="16">
        <v>45352</v>
      </c>
      <c r="C1" s="16">
        <v>45261</v>
      </c>
      <c r="D1" s="16">
        <v>45170</v>
      </c>
      <c r="E1" s="16">
        <v>45078</v>
      </c>
      <c r="F1" s="16">
        <v>44986</v>
      </c>
      <c r="G1" s="16">
        <v>44896</v>
      </c>
      <c r="H1" s="16">
        <v>44805</v>
      </c>
      <c r="I1" s="16">
        <v>44713</v>
      </c>
      <c r="J1" s="16">
        <v>44621</v>
      </c>
      <c r="K1" s="16">
        <v>44531</v>
      </c>
      <c r="L1" s="16">
        <v>44440</v>
      </c>
      <c r="M1" s="16">
        <v>44348</v>
      </c>
      <c r="N1" s="16">
        <v>44256</v>
      </c>
      <c r="O1" s="16">
        <v>44166</v>
      </c>
      <c r="P1" s="16">
        <v>44075</v>
      </c>
      <c r="Q1" s="16">
        <v>43983</v>
      </c>
    </row>
    <row r="2" spans="1:17" x14ac:dyDescent="0.3">
      <c r="A2" t="s">
        <v>280</v>
      </c>
      <c r="B2">
        <v>1</v>
      </c>
      <c r="C2">
        <v>1</v>
      </c>
      <c r="D2">
        <v>0</v>
      </c>
      <c r="E2">
        <v>1</v>
      </c>
      <c r="F2">
        <v>1</v>
      </c>
      <c r="G2">
        <v>1</v>
      </c>
      <c r="H2">
        <v>1</v>
      </c>
      <c r="I2">
        <v>0</v>
      </c>
      <c r="J2">
        <v>0</v>
      </c>
      <c r="K2">
        <v>0</v>
      </c>
      <c r="L2">
        <v>1</v>
      </c>
      <c r="M2">
        <v>1</v>
      </c>
      <c r="N2">
        <v>0</v>
      </c>
      <c r="O2">
        <v>0</v>
      </c>
      <c r="P2">
        <v>0</v>
      </c>
      <c r="Q2">
        <v>0</v>
      </c>
    </row>
    <row r="3" spans="1:17" x14ac:dyDescent="0.3">
      <c r="A3" t="s">
        <v>282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>
        <v>0</v>
      </c>
      <c r="M3">
        <v>0</v>
      </c>
      <c r="N3">
        <v>0</v>
      </c>
      <c r="O3">
        <v>1</v>
      </c>
      <c r="P3">
        <v>0</v>
      </c>
      <c r="Q3">
        <v>0</v>
      </c>
    </row>
    <row r="4" spans="1:17" x14ac:dyDescent="0.3">
      <c r="A4" t="s">
        <v>286</v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</row>
    <row r="5" spans="1:17" x14ac:dyDescent="0.3">
      <c r="A5" t="s">
        <v>287</v>
      </c>
      <c r="B5">
        <v>1</v>
      </c>
      <c r="C5">
        <v>1</v>
      </c>
      <c r="D5">
        <v>0</v>
      </c>
      <c r="E5">
        <v>1</v>
      </c>
      <c r="F5">
        <v>1</v>
      </c>
      <c r="G5">
        <v>1</v>
      </c>
      <c r="H5">
        <v>1</v>
      </c>
      <c r="I5">
        <v>0</v>
      </c>
      <c r="J5">
        <v>0</v>
      </c>
      <c r="K5">
        <v>0</v>
      </c>
      <c r="L5">
        <v>1</v>
      </c>
      <c r="M5">
        <v>1</v>
      </c>
      <c r="N5">
        <v>0</v>
      </c>
      <c r="O5">
        <v>0</v>
      </c>
      <c r="P5">
        <v>0</v>
      </c>
      <c r="Q5">
        <v>1</v>
      </c>
    </row>
    <row r="6" spans="1:17" x14ac:dyDescent="0.3">
      <c r="A6" t="s">
        <v>289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>
        <v>0</v>
      </c>
      <c r="J6">
        <v>1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</row>
    <row r="7" spans="1:17" x14ac:dyDescent="0.3">
      <c r="A7" t="s">
        <v>290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  <c r="K7">
        <v>1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</row>
    <row r="8" spans="1:17" x14ac:dyDescent="0.3">
      <c r="A8" t="s">
        <v>291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0</v>
      </c>
      <c r="N8">
        <v>0</v>
      </c>
      <c r="O8">
        <v>1</v>
      </c>
      <c r="P8">
        <v>1</v>
      </c>
      <c r="Q8">
        <v>1</v>
      </c>
    </row>
    <row r="9" spans="1:17" x14ac:dyDescent="0.3">
      <c r="A9" t="s">
        <v>292</v>
      </c>
      <c r="B9">
        <v>0</v>
      </c>
      <c r="C9">
        <v>0</v>
      </c>
      <c r="D9">
        <v>0</v>
      </c>
      <c r="E9">
        <v>1</v>
      </c>
      <c r="F9">
        <v>0</v>
      </c>
      <c r="G9">
        <v>1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 x14ac:dyDescent="0.3">
      <c r="A10" t="s">
        <v>293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1</v>
      </c>
      <c r="M10">
        <v>0</v>
      </c>
      <c r="N10">
        <v>1</v>
      </c>
      <c r="O10">
        <v>0</v>
      </c>
      <c r="P10">
        <v>0</v>
      </c>
      <c r="Q10">
        <v>0</v>
      </c>
    </row>
    <row r="11" spans="1:17" x14ac:dyDescent="0.3">
      <c r="A11" t="s">
        <v>294</v>
      </c>
      <c r="B11">
        <v>0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1</v>
      </c>
      <c r="P11">
        <v>1</v>
      </c>
      <c r="Q11">
        <v>0</v>
      </c>
    </row>
    <row r="12" spans="1:17" x14ac:dyDescent="0.3">
      <c r="A12" t="s">
        <v>295</v>
      </c>
      <c r="B12">
        <v>1</v>
      </c>
      <c r="C12">
        <v>0</v>
      </c>
      <c r="D12">
        <v>0</v>
      </c>
      <c r="E12">
        <v>1</v>
      </c>
      <c r="F12">
        <v>0</v>
      </c>
      <c r="G12">
        <v>1</v>
      </c>
      <c r="H12">
        <v>1</v>
      </c>
      <c r="I12">
        <v>0</v>
      </c>
      <c r="J12">
        <v>0</v>
      </c>
      <c r="K12">
        <v>1</v>
      </c>
      <c r="L12">
        <v>0</v>
      </c>
      <c r="M12">
        <v>1</v>
      </c>
      <c r="N12">
        <v>0</v>
      </c>
      <c r="O12">
        <v>1</v>
      </c>
      <c r="P12">
        <v>0</v>
      </c>
      <c r="Q12">
        <v>0</v>
      </c>
    </row>
    <row r="13" spans="1:17" x14ac:dyDescent="0.3">
      <c r="A13" t="s">
        <v>297</v>
      </c>
      <c r="B13">
        <v>0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L13">
        <v>1</v>
      </c>
      <c r="M13">
        <v>0</v>
      </c>
      <c r="N13">
        <v>1</v>
      </c>
      <c r="O13">
        <v>0</v>
      </c>
      <c r="P13">
        <v>1</v>
      </c>
      <c r="Q13">
        <v>0</v>
      </c>
    </row>
    <row r="14" spans="1:17" x14ac:dyDescent="0.3">
      <c r="A14" t="s">
        <v>298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</row>
    <row r="15" spans="1:17" x14ac:dyDescent="0.3">
      <c r="A15" t="s">
        <v>299</v>
      </c>
      <c r="B15">
        <v>0</v>
      </c>
      <c r="C15">
        <v>0</v>
      </c>
      <c r="D15">
        <v>1</v>
      </c>
      <c r="E15">
        <v>0</v>
      </c>
      <c r="F15">
        <v>0</v>
      </c>
      <c r="G15">
        <v>1</v>
      </c>
      <c r="H15">
        <v>0</v>
      </c>
      <c r="I15">
        <v>1</v>
      </c>
      <c r="J15">
        <v>0</v>
      </c>
      <c r="K15">
        <v>0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17" x14ac:dyDescent="0.3">
      <c r="A16" t="s">
        <v>300</v>
      </c>
      <c r="B16">
        <v>0</v>
      </c>
      <c r="C16">
        <v>1</v>
      </c>
      <c r="D16">
        <v>0</v>
      </c>
      <c r="E16">
        <v>0</v>
      </c>
      <c r="F16">
        <v>0</v>
      </c>
      <c r="G16">
        <v>0</v>
      </c>
      <c r="H16">
        <v>1</v>
      </c>
      <c r="I16">
        <v>0</v>
      </c>
      <c r="J16">
        <v>0</v>
      </c>
      <c r="K16">
        <v>1</v>
      </c>
      <c r="L16">
        <v>0</v>
      </c>
      <c r="M16">
        <v>0</v>
      </c>
      <c r="N16">
        <v>0</v>
      </c>
      <c r="O16">
        <v>1</v>
      </c>
      <c r="P16">
        <v>0</v>
      </c>
      <c r="Q16">
        <v>0</v>
      </c>
    </row>
    <row r="17" spans="1:17" x14ac:dyDescent="0.3">
      <c r="A17" t="s">
        <v>307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</v>
      </c>
      <c r="K17">
        <v>1</v>
      </c>
      <c r="L17">
        <v>1</v>
      </c>
      <c r="M17">
        <v>0</v>
      </c>
      <c r="N17">
        <v>1</v>
      </c>
      <c r="O17">
        <v>0</v>
      </c>
      <c r="P17">
        <v>0</v>
      </c>
      <c r="Q17">
        <v>0</v>
      </c>
    </row>
    <row r="18" spans="1:17" x14ac:dyDescent="0.3">
      <c r="A18" t="s">
        <v>308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1</v>
      </c>
      <c r="P18">
        <v>1</v>
      </c>
      <c r="Q18">
        <v>0</v>
      </c>
    </row>
    <row r="19" spans="1:17" x14ac:dyDescent="0.3">
      <c r="A19" t="s">
        <v>309</v>
      </c>
      <c r="B19">
        <v>1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</row>
    <row r="20" spans="1:17" x14ac:dyDescent="0.3">
      <c r="A20" t="s">
        <v>322</v>
      </c>
      <c r="B20">
        <v>0</v>
      </c>
      <c r="C20">
        <v>0</v>
      </c>
      <c r="D20">
        <v>1</v>
      </c>
      <c r="E20">
        <v>0</v>
      </c>
      <c r="F20">
        <v>0</v>
      </c>
      <c r="G20">
        <v>0</v>
      </c>
      <c r="H20">
        <v>1</v>
      </c>
      <c r="I20">
        <v>1</v>
      </c>
      <c r="J20">
        <v>0</v>
      </c>
      <c r="K20">
        <v>0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 x14ac:dyDescent="0.3">
      <c r="A21" t="s">
        <v>323</v>
      </c>
      <c r="B21">
        <v>1</v>
      </c>
      <c r="C21">
        <v>1</v>
      </c>
      <c r="D21">
        <v>0</v>
      </c>
      <c r="E21">
        <v>1</v>
      </c>
      <c r="F21">
        <v>1</v>
      </c>
      <c r="G21">
        <v>1</v>
      </c>
      <c r="H21">
        <v>0</v>
      </c>
      <c r="I21">
        <v>0</v>
      </c>
      <c r="J21">
        <v>1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 x14ac:dyDescent="0.3">
      <c r="A22" t="s">
        <v>329</v>
      </c>
      <c r="B22">
        <v>0</v>
      </c>
      <c r="C22">
        <v>0</v>
      </c>
      <c r="D22">
        <v>1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</row>
    <row r="23" spans="1:17" x14ac:dyDescent="0.3">
      <c r="A23" t="s">
        <v>330</v>
      </c>
      <c r="B23">
        <v>0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1</v>
      </c>
      <c r="O23">
        <v>0</v>
      </c>
      <c r="P23">
        <v>1</v>
      </c>
      <c r="Q23">
        <v>1</v>
      </c>
    </row>
    <row r="24" spans="1:17" x14ac:dyDescent="0.3">
      <c r="A24" t="s">
        <v>331</v>
      </c>
      <c r="B24">
        <v>0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1</v>
      </c>
      <c r="K24">
        <v>1</v>
      </c>
      <c r="L24">
        <v>0</v>
      </c>
      <c r="M24">
        <v>0</v>
      </c>
      <c r="N24">
        <v>1</v>
      </c>
      <c r="O24">
        <v>0</v>
      </c>
      <c r="P24">
        <v>0</v>
      </c>
      <c r="Q24">
        <v>0</v>
      </c>
    </row>
    <row r="25" spans="1:17" x14ac:dyDescent="0.3">
      <c r="A25" t="s">
        <v>332</v>
      </c>
      <c r="B25">
        <v>0</v>
      </c>
      <c r="C25">
        <v>0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1</v>
      </c>
      <c r="P25">
        <v>1</v>
      </c>
      <c r="Q25">
        <v>0</v>
      </c>
    </row>
    <row r="26" spans="1:17" x14ac:dyDescent="0.3">
      <c r="A26" t="s">
        <v>333</v>
      </c>
      <c r="B26">
        <v>1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</v>
      </c>
    </row>
    <row r="27" spans="1:17" x14ac:dyDescent="0.3">
      <c r="A27" t="s">
        <v>340</v>
      </c>
      <c r="B27">
        <v>0</v>
      </c>
      <c r="C27">
        <v>1</v>
      </c>
      <c r="D27">
        <v>1</v>
      </c>
      <c r="E27">
        <v>1</v>
      </c>
      <c r="F27">
        <v>1</v>
      </c>
      <c r="G27">
        <v>0</v>
      </c>
      <c r="H27">
        <v>0</v>
      </c>
      <c r="I27">
        <v>0</v>
      </c>
      <c r="J27">
        <v>0</v>
      </c>
      <c r="K27">
        <v>1</v>
      </c>
      <c r="L27">
        <v>0</v>
      </c>
      <c r="M27">
        <v>0</v>
      </c>
      <c r="N27">
        <v>1</v>
      </c>
      <c r="O27">
        <v>1</v>
      </c>
      <c r="P27">
        <v>1</v>
      </c>
      <c r="Q27">
        <v>0</v>
      </c>
    </row>
    <row r="28" spans="1:17" x14ac:dyDescent="0.3">
      <c r="A28" t="s">
        <v>342</v>
      </c>
      <c r="B28">
        <v>0</v>
      </c>
      <c r="C28">
        <v>0</v>
      </c>
      <c r="D28">
        <v>0</v>
      </c>
      <c r="E28">
        <v>0</v>
      </c>
      <c r="F28">
        <v>0</v>
      </c>
      <c r="G28">
        <v>1</v>
      </c>
      <c r="H28">
        <v>1</v>
      </c>
      <c r="I28">
        <v>0</v>
      </c>
      <c r="J28">
        <v>0</v>
      </c>
      <c r="K28">
        <v>0</v>
      </c>
      <c r="L28">
        <v>1</v>
      </c>
      <c r="M28">
        <v>0</v>
      </c>
      <c r="N28">
        <v>0</v>
      </c>
      <c r="O28">
        <v>0</v>
      </c>
      <c r="P28">
        <v>0</v>
      </c>
      <c r="Q28">
        <v>1</v>
      </c>
    </row>
    <row r="29" spans="1:17" x14ac:dyDescent="0.3">
      <c r="A29" t="s">
        <v>343</v>
      </c>
      <c r="B29">
        <v>0</v>
      </c>
      <c r="C29">
        <v>0</v>
      </c>
      <c r="D29">
        <v>1</v>
      </c>
      <c r="E29">
        <v>1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</row>
    <row r="30" spans="1:17" x14ac:dyDescent="0.3">
      <c r="A30" t="s">
        <v>344</v>
      </c>
      <c r="B30">
        <v>0</v>
      </c>
      <c r="C30">
        <v>0</v>
      </c>
      <c r="D30">
        <v>0</v>
      </c>
      <c r="E30">
        <v>0</v>
      </c>
      <c r="F30">
        <v>1</v>
      </c>
      <c r="G30">
        <v>0</v>
      </c>
      <c r="H30">
        <v>1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</row>
    <row r="31" spans="1:17" x14ac:dyDescent="0.3">
      <c r="A31" t="s">
        <v>345</v>
      </c>
      <c r="B31">
        <v>1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>
        <v>1</v>
      </c>
      <c r="Q31">
        <v>0</v>
      </c>
    </row>
    <row r="32" spans="1:17" x14ac:dyDescent="0.3">
      <c r="A32" t="s">
        <v>349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</v>
      </c>
      <c r="L32">
        <v>1</v>
      </c>
      <c r="M32">
        <v>1</v>
      </c>
      <c r="N32">
        <v>0</v>
      </c>
      <c r="O32">
        <v>0</v>
      </c>
      <c r="P32">
        <v>0</v>
      </c>
      <c r="Q32">
        <v>0</v>
      </c>
    </row>
    <row r="33" spans="1:17" x14ac:dyDescent="0.3">
      <c r="A33" t="s">
        <v>350</v>
      </c>
      <c r="B33">
        <v>1</v>
      </c>
      <c r="C33">
        <v>1</v>
      </c>
      <c r="D33">
        <v>1</v>
      </c>
      <c r="E33">
        <v>1</v>
      </c>
      <c r="F33">
        <v>0</v>
      </c>
      <c r="G33">
        <v>1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1</v>
      </c>
      <c r="O33">
        <v>1</v>
      </c>
      <c r="P33">
        <v>0</v>
      </c>
      <c r="Q33">
        <v>0</v>
      </c>
    </row>
    <row r="34" spans="1:17" x14ac:dyDescent="0.3">
      <c r="A34" t="s">
        <v>353</v>
      </c>
      <c r="B34">
        <v>0</v>
      </c>
      <c r="C34">
        <v>0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1</v>
      </c>
      <c r="K34">
        <v>0</v>
      </c>
      <c r="L34">
        <v>0</v>
      </c>
      <c r="M34">
        <v>1</v>
      </c>
      <c r="N34">
        <v>1</v>
      </c>
      <c r="O34">
        <v>0</v>
      </c>
      <c r="P34">
        <v>0</v>
      </c>
      <c r="Q34">
        <v>0</v>
      </c>
    </row>
    <row r="35" spans="1:17" x14ac:dyDescent="0.3">
      <c r="A35" t="s">
        <v>354</v>
      </c>
      <c r="B35">
        <v>1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</v>
      </c>
    </row>
    <row r="36" spans="1:17" x14ac:dyDescent="0.3">
      <c r="A36" t="s">
        <v>355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1</v>
      </c>
      <c r="K36">
        <v>0</v>
      </c>
      <c r="L36">
        <v>0</v>
      </c>
      <c r="M36">
        <v>1</v>
      </c>
      <c r="N36">
        <v>0</v>
      </c>
      <c r="O36">
        <v>0</v>
      </c>
      <c r="P36">
        <v>0</v>
      </c>
      <c r="Q36">
        <v>0</v>
      </c>
    </row>
    <row r="37" spans="1:17" x14ac:dyDescent="0.3">
      <c r="A37" t="s">
        <v>356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1</v>
      </c>
      <c r="I37">
        <v>1</v>
      </c>
      <c r="J37">
        <v>0</v>
      </c>
      <c r="K37">
        <v>1</v>
      </c>
      <c r="L37">
        <v>0</v>
      </c>
      <c r="M37">
        <v>0</v>
      </c>
      <c r="N37">
        <v>1</v>
      </c>
      <c r="O37">
        <v>0</v>
      </c>
      <c r="P37">
        <v>0</v>
      </c>
      <c r="Q37">
        <v>0</v>
      </c>
    </row>
    <row r="38" spans="1:17" x14ac:dyDescent="0.3">
      <c r="A38" t="s">
        <v>357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</v>
      </c>
      <c r="M38">
        <v>0</v>
      </c>
      <c r="N38">
        <v>0</v>
      </c>
      <c r="O38">
        <v>1</v>
      </c>
      <c r="P38">
        <v>1</v>
      </c>
      <c r="Q38">
        <v>1</v>
      </c>
    </row>
    <row r="39" spans="1:17" x14ac:dyDescent="0.3">
      <c r="A39" t="s">
        <v>358</v>
      </c>
      <c r="B39">
        <v>0</v>
      </c>
      <c r="C39">
        <v>1</v>
      </c>
      <c r="D39">
        <v>1</v>
      </c>
      <c r="E39">
        <v>0</v>
      </c>
      <c r="F39">
        <v>1</v>
      </c>
      <c r="G39">
        <v>0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 spans="1:17" x14ac:dyDescent="0.3">
      <c r="A40" t="s">
        <v>359</v>
      </c>
      <c r="B40">
        <v>0</v>
      </c>
      <c r="C40">
        <v>0</v>
      </c>
      <c r="D40">
        <v>0</v>
      </c>
      <c r="E40">
        <v>1</v>
      </c>
      <c r="F40">
        <v>0</v>
      </c>
      <c r="G40">
        <v>1</v>
      </c>
      <c r="H40">
        <v>0</v>
      </c>
      <c r="I40">
        <v>1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</row>
    <row r="41" spans="1:17" x14ac:dyDescent="0.3">
      <c r="A41" t="s">
        <v>360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</v>
      </c>
      <c r="L41">
        <v>1</v>
      </c>
      <c r="M41">
        <v>0</v>
      </c>
      <c r="N41">
        <v>1</v>
      </c>
      <c r="O41">
        <v>1</v>
      </c>
      <c r="P41">
        <v>1</v>
      </c>
      <c r="Q41">
        <v>0</v>
      </c>
    </row>
    <row r="42" spans="1:17" x14ac:dyDescent="0.3">
      <c r="A42" t="s">
        <v>361</v>
      </c>
      <c r="B42">
        <v>0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</v>
      </c>
      <c r="L42">
        <v>0</v>
      </c>
      <c r="M42">
        <v>1</v>
      </c>
      <c r="N42">
        <v>0</v>
      </c>
      <c r="O42">
        <v>0</v>
      </c>
      <c r="P42">
        <v>0</v>
      </c>
      <c r="Q42">
        <v>0</v>
      </c>
    </row>
    <row r="43" spans="1:17" x14ac:dyDescent="0.3">
      <c r="A43" t="s">
        <v>362</v>
      </c>
      <c r="B43">
        <v>1</v>
      </c>
      <c r="C43">
        <v>0</v>
      </c>
      <c r="D43">
        <v>1</v>
      </c>
      <c r="E43">
        <v>1</v>
      </c>
      <c r="F43">
        <v>0</v>
      </c>
      <c r="G43">
        <v>1</v>
      </c>
      <c r="H43">
        <v>1</v>
      </c>
      <c r="I43">
        <v>1</v>
      </c>
      <c r="J43">
        <v>0</v>
      </c>
      <c r="K43">
        <v>0</v>
      </c>
      <c r="L43">
        <v>1</v>
      </c>
      <c r="M43">
        <v>0</v>
      </c>
      <c r="N43">
        <v>1</v>
      </c>
      <c r="O43">
        <v>1</v>
      </c>
      <c r="P43">
        <v>0</v>
      </c>
      <c r="Q43">
        <v>0</v>
      </c>
    </row>
    <row r="44" spans="1:17" x14ac:dyDescent="0.3">
      <c r="A44" t="s">
        <v>382</v>
      </c>
      <c r="B44">
        <v>0</v>
      </c>
      <c r="C44">
        <v>0</v>
      </c>
      <c r="D44">
        <v>0</v>
      </c>
      <c r="E44">
        <v>1</v>
      </c>
      <c r="F44">
        <v>0</v>
      </c>
      <c r="G44">
        <v>1</v>
      </c>
      <c r="H44">
        <v>0</v>
      </c>
      <c r="I44">
        <v>1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</row>
    <row r="45" spans="1:17" x14ac:dyDescent="0.3">
      <c r="A45" t="s">
        <v>383</v>
      </c>
      <c r="B45">
        <v>1</v>
      </c>
      <c r="C45">
        <v>1</v>
      </c>
      <c r="D45">
        <v>0</v>
      </c>
      <c r="E45">
        <v>0</v>
      </c>
      <c r="F45">
        <v>1</v>
      </c>
      <c r="G45">
        <v>0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1</v>
      </c>
      <c r="Q45">
        <v>1</v>
      </c>
    </row>
    <row r="46" spans="1:17" x14ac:dyDescent="0.3">
      <c r="A46" t="s">
        <v>379</v>
      </c>
      <c r="B46">
        <v>0</v>
      </c>
      <c r="C46">
        <v>0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</v>
      </c>
      <c r="M46">
        <v>1</v>
      </c>
      <c r="N46">
        <v>1</v>
      </c>
      <c r="O46">
        <v>0</v>
      </c>
      <c r="P46">
        <v>0</v>
      </c>
      <c r="Q46">
        <v>0</v>
      </c>
    </row>
    <row r="47" spans="1:17" x14ac:dyDescent="0.3">
      <c r="A47" t="s">
        <v>380</v>
      </c>
      <c r="B47">
        <v>1</v>
      </c>
      <c r="C47">
        <v>0</v>
      </c>
      <c r="D47">
        <v>0</v>
      </c>
      <c r="E47">
        <v>1</v>
      </c>
      <c r="F47">
        <v>1</v>
      </c>
      <c r="G47">
        <v>1</v>
      </c>
      <c r="H47">
        <v>1</v>
      </c>
      <c r="I47">
        <v>0</v>
      </c>
      <c r="J47">
        <v>0</v>
      </c>
      <c r="K47">
        <v>1</v>
      </c>
      <c r="L47">
        <v>0</v>
      </c>
      <c r="M47">
        <v>0</v>
      </c>
      <c r="N47">
        <v>0</v>
      </c>
      <c r="O47">
        <v>1</v>
      </c>
      <c r="P47">
        <v>0</v>
      </c>
      <c r="Q47">
        <v>0</v>
      </c>
    </row>
    <row r="48" spans="1:17" x14ac:dyDescent="0.3">
      <c r="A48" t="s">
        <v>376</v>
      </c>
      <c r="B48">
        <v>0</v>
      </c>
      <c r="C48">
        <v>0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</v>
      </c>
      <c r="M48">
        <v>1</v>
      </c>
      <c r="N48">
        <v>1</v>
      </c>
      <c r="O48">
        <v>0</v>
      </c>
      <c r="P48">
        <v>0</v>
      </c>
      <c r="Q48">
        <v>0</v>
      </c>
    </row>
    <row r="49" spans="1:17" x14ac:dyDescent="0.3">
      <c r="A49" t="s">
        <v>377</v>
      </c>
      <c r="B49">
        <v>1</v>
      </c>
      <c r="C49">
        <v>0</v>
      </c>
      <c r="D49">
        <v>0</v>
      </c>
      <c r="E49">
        <v>1</v>
      </c>
      <c r="F49">
        <v>1</v>
      </c>
      <c r="G49">
        <v>1</v>
      </c>
      <c r="H49">
        <v>1</v>
      </c>
      <c r="I49">
        <v>0</v>
      </c>
      <c r="J49">
        <v>0</v>
      </c>
      <c r="K49">
        <v>1</v>
      </c>
      <c r="L49">
        <v>0</v>
      </c>
      <c r="M49">
        <v>0</v>
      </c>
      <c r="N49">
        <v>0</v>
      </c>
      <c r="O49">
        <v>1</v>
      </c>
      <c r="P49">
        <v>0</v>
      </c>
      <c r="Q49">
        <v>0</v>
      </c>
    </row>
    <row r="50" spans="1:17" x14ac:dyDescent="0.3">
      <c r="A50" t="s">
        <v>370</v>
      </c>
      <c r="B50">
        <v>0</v>
      </c>
      <c r="C50">
        <v>0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</v>
      </c>
      <c r="M50">
        <v>1</v>
      </c>
      <c r="N50">
        <v>1</v>
      </c>
      <c r="O50">
        <v>0</v>
      </c>
      <c r="P50">
        <v>0</v>
      </c>
      <c r="Q50">
        <v>0</v>
      </c>
    </row>
    <row r="51" spans="1:17" x14ac:dyDescent="0.3">
      <c r="A51" t="s">
        <v>371</v>
      </c>
      <c r="B51">
        <v>1</v>
      </c>
      <c r="C51">
        <v>0</v>
      </c>
      <c r="D51">
        <v>0</v>
      </c>
      <c r="E51">
        <v>1</v>
      </c>
      <c r="F51">
        <v>1</v>
      </c>
      <c r="G51">
        <v>1</v>
      </c>
      <c r="H51">
        <v>1</v>
      </c>
      <c r="I51">
        <v>0</v>
      </c>
      <c r="J51">
        <v>0</v>
      </c>
      <c r="K51">
        <v>1</v>
      </c>
      <c r="L51">
        <v>0</v>
      </c>
      <c r="M51">
        <v>0</v>
      </c>
      <c r="N51">
        <v>0</v>
      </c>
      <c r="O51">
        <v>1</v>
      </c>
      <c r="P51">
        <v>0</v>
      </c>
      <c r="Q51">
        <v>0</v>
      </c>
    </row>
    <row r="52" spans="1:17" x14ac:dyDescent="0.3">
      <c r="A52" t="s">
        <v>397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</v>
      </c>
      <c r="K52">
        <v>0</v>
      </c>
      <c r="L52">
        <v>0</v>
      </c>
      <c r="M52">
        <v>1</v>
      </c>
      <c r="N52">
        <v>0</v>
      </c>
      <c r="O52">
        <v>0</v>
      </c>
      <c r="P52">
        <v>0</v>
      </c>
      <c r="Q52">
        <v>0</v>
      </c>
    </row>
    <row r="53" spans="1:17" x14ac:dyDescent="0.3">
      <c r="A53" t="s">
        <v>398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1</v>
      </c>
      <c r="I53">
        <v>1</v>
      </c>
      <c r="J53">
        <v>0</v>
      </c>
      <c r="K53">
        <v>1</v>
      </c>
      <c r="L53">
        <v>0</v>
      </c>
      <c r="M53">
        <v>0</v>
      </c>
      <c r="N53">
        <v>1</v>
      </c>
      <c r="O53">
        <v>0</v>
      </c>
      <c r="P53">
        <v>0</v>
      </c>
      <c r="Q53">
        <v>0</v>
      </c>
    </row>
    <row r="54" spans="1:17" x14ac:dyDescent="0.3">
      <c r="A54" t="s">
        <v>399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</v>
      </c>
      <c r="M54">
        <v>0</v>
      </c>
      <c r="N54">
        <v>0</v>
      </c>
      <c r="O54">
        <v>1</v>
      </c>
      <c r="P54">
        <v>1</v>
      </c>
      <c r="Q54">
        <v>1</v>
      </c>
    </row>
    <row r="55" spans="1:17" x14ac:dyDescent="0.3">
      <c r="A55" t="s">
        <v>424</v>
      </c>
      <c r="B55">
        <v>0</v>
      </c>
      <c r="C55">
        <v>0</v>
      </c>
      <c r="D55">
        <v>1</v>
      </c>
      <c r="E55">
        <v>0</v>
      </c>
      <c r="F55">
        <v>0</v>
      </c>
      <c r="G55">
        <v>0</v>
      </c>
      <c r="H55">
        <v>0</v>
      </c>
      <c r="I55">
        <v>0</v>
      </c>
      <c r="J55">
        <v>1</v>
      </c>
      <c r="K55">
        <v>0</v>
      </c>
      <c r="L55">
        <v>1</v>
      </c>
      <c r="M55">
        <v>1</v>
      </c>
      <c r="N55">
        <v>0</v>
      </c>
      <c r="O55">
        <v>0</v>
      </c>
      <c r="P55">
        <v>0</v>
      </c>
      <c r="Q55">
        <v>0</v>
      </c>
    </row>
    <row r="56" spans="1:17" x14ac:dyDescent="0.3">
      <c r="A56" t="s">
        <v>425</v>
      </c>
      <c r="B56">
        <v>1</v>
      </c>
      <c r="C56">
        <v>1</v>
      </c>
      <c r="D56">
        <v>0</v>
      </c>
      <c r="E56">
        <v>0</v>
      </c>
      <c r="F56">
        <v>0</v>
      </c>
      <c r="G56">
        <v>1</v>
      </c>
      <c r="H56">
        <v>1</v>
      </c>
      <c r="I56">
        <v>1</v>
      </c>
      <c r="J56">
        <v>0</v>
      </c>
      <c r="K56">
        <v>1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</row>
    <row r="57" spans="1:17" x14ac:dyDescent="0.3">
      <c r="A57" t="s">
        <v>418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1</v>
      </c>
      <c r="K57">
        <v>0</v>
      </c>
      <c r="L57">
        <v>0</v>
      </c>
      <c r="M57">
        <v>1</v>
      </c>
      <c r="N57">
        <v>0</v>
      </c>
      <c r="O57">
        <v>0</v>
      </c>
      <c r="P57">
        <v>0</v>
      </c>
      <c r="Q57">
        <v>0</v>
      </c>
    </row>
    <row r="58" spans="1:17" x14ac:dyDescent="0.3">
      <c r="A58" t="s">
        <v>419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1</v>
      </c>
      <c r="I58">
        <v>1</v>
      </c>
      <c r="J58">
        <v>0</v>
      </c>
      <c r="K58">
        <v>1</v>
      </c>
      <c r="L58">
        <v>1</v>
      </c>
      <c r="M58">
        <v>0</v>
      </c>
      <c r="N58">
        <v>1</v>
      </c>
      <c r="O58">
        <v>1</v>
      </c>
      <c r="P58">
        <v>1</v>
      </c>
      <c r="Q58">
        <v>1</v>
      </c>
    </row>
    <row r="59" spans="1:17" x14ac:dyDescent="0.3">
      <c r="A59" t="s">
        <v>415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1</v>
      </c>
      <c r="I59">
        <v>0</v>
      </c>
      <c r="J59">
        <v>1</v>
      </c>
      <c r="K59">
        <v>1</v>
      </c>
      <c r="L59">
        <v>0</v>
      </c>
      <c r="M59">
        <v>1</v>
      </c>
      <c r="N59">
        <v>1</v>
      </c>
      <c r="O59">
        <v>0</v>
      </c>
      <c r="P59">
        <v>0</v>
      </c>
      <c r="Q59">
        <v>1</v>
      </c>
    </row>
    <row r="60" spans="1:17" x14ac:dyDescent="0.3">
      <c r="A60" t="s">
        <v>417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1</v>
      </c>
      <c r="J60">
        <v>0</v>
      </c>
      <c r="K60">
        <v>0</v>
      </c>
      <c r="L60">
        <v>1</v>
      </c>
      <c r="M60">
        <v>0</v>
      </c>
      <c r="N60">
        <v>0</v>
      </c>
      <c r="O60">
        <v>1</v>
      </c>
      <c r="P60">
        <v>1</v>
      </c>
      <c r="Q60">
        <v>0</v>
      </c>
    </row>
    <row r="61" spans="1:17" x14ac:dyDescent="0.3">
      <c r="A61" t="s">
        <v>440</v>
      </c>
      <c r="B61">
        <v>1</v>
      </c>
      <c r="C61">
        <v>0</v>
      </c>
      <c r="D61">
        <v>0</v>
      </c>
      <c r="E61">
        <v>1</v>
      </c>
      <c r="F61">
        <v>1</v>
      </c>
      <c r="G61">
        <v>0</v>
      </c>
      <c r="H61">
        <v>1</v>
      </c>
      <c r="I61">
        <v>0</v>
      </c>
      <c r="J61">
        <v>0</v>
      </c>
      <c r="K61">
        <v>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</row>
    <row r="62" spans="1:17" x14ac:dyDescent="0.3">
      <c r="A62" t="s">
        <v>441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1</v>
      </c>
      <c r="J62">
        <v>1</v>
      </c>
      <c r="K62">
        <v>0</v>
      </c>
      <c r="L62">
        <v>1</v>
      </c>
      <c r="M62">
        <v>0</v>
      </c>
      <c r="N62">
        <v>0</v>
      </c>
      <c r="O62">
        <v>0</v>
      </c>
      <c r="P62">
        <v>0</v>
      </c>
      <c r="Q62">
        <v>1</v>
      </c>
    </row>
    <row r="63" spans="1:17" x14ac:dyDescent="0.3">
      <c r="A63" t="s">
        <v>442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1</v>
      </c>
      <c r="O63">
        <v>1</v>
      </c>
      <c r="P63">
        <v>1</v>
      </c>
      <c r="Q63">
        <v>0</v>
      </c>
    </row>
    <row r="64" spans="1:17" x14ac:dyDescent="0.3">
      <c r="A64" t="s">
        <v>437</v>
      </c>
      <c r="B64">
        <v>1</v>
      </c>
      <c r="C64">
        <v>0</v>
      </c>
      <c r="D64">
        <v>0</v>
      </c>
      <c r="E64">
        <v>0</v>
      </c>
      <c r="F64">
        <v>1</v>
      </c>
      <c r="G64">
        <v>1</v>
      </c>
      <c r="H64">
        <v>0</v>
      </c>
      <c r="I64">
        <v>0</v>
      </c>
      <c r="J64">
        <v>0</v>
      </c>
      <c r="K64">
        <v>1</v>
      </c>
      <c r="L64">
        <v>1</v>
      </c>
      <c r="M64">
        <v>0</v>
      </c>
      <c r="N64">
        <v>1</v>
      </c>
      <c r="O64">
        <v>0</v>
      </c>
      <c r="P64">
        <v>1</v>
      </c>
      <c r="Q64">
        <v>0</v>
      </c>
    </row>
    <row r="65" spans="1:17" x14ac:dyDescent="0.3">
      <c r="A65" t="s">
        <v>439</v>
      </c>
      <c r="B65">
        <v>0</v>
      </c>
      <c r="C65">
        <v>1</v>
      </c>
      <c r="D65">
        <v>1</v>
      </c>
      <c r="E65">
        <v>1</v>
      </c>
      <c r="F65">
        <v>0</v>
      </c>
      <c r="G65">
        <v>0</v>
      </c>
      <c r="H65">
        <v>1</v>
      </c>
      <c r="I65">
        <v>0</v>
      </c>
      <c r="J65">
        <v>0</v>
      </c>
      <c r="K65">
        <v>0</v>
      </c>
      <c r="L65">
        <v>0</v>
      </c>
      <c r="M65">
        <v>1</v>
      </c>
      <c r="N65">
        <v>0</v>
      </c>
      <c r="O65">
        <v>0</v>
      </c>
      <c r="P65">
        <v>0</v>
      </c>
      <c r="Q65">
        <v>0</v>
      </c>
    </row>
    <row r="66" spans="1:17" x14ac:dyDescent="0.3">
      <c r="A66" t="s">
        <v>434</v>
      </c>
      <c r="B66">
        <v>1</v>
      </c>
      <c r="C66">
        <v>0</v>
      </c>
      <c r="D66">
        <v>0</v>
      </c>
      <c r="E66">
        <v>1</v>
      </c>
      <c r="F66">
        <v>1</v>
      </c>
      <c r="G66">
        <v>1</v>
      </c>
      <c r="H66">
        <v>0</v>
      </c>
      <c r="I66">
        <v>0</v>
      </c>
      <c r="J66">
        <v>0</v>
      </c>
      <c r="K66">
        <v>1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</row>
    <row r="67" spans="1:17" x14ac:dyDescent="0.3">
      <c r="A67" t="s">
        <v>436</v>
      </c>
      <c r="B67">
        <v>0</v>
      </c>
      <c r="C67">
        <v>1</v>
      </c>
      <c r="D67">
        <v>1</v>
      </c>
      <c r="E67">
        <v>0</v>
      </c>
      <c r="F67">
        <v>0</v>
      </c>
      <c r="G67">
        <v>0</v>
      </c>
      <c r="H67">
        <v>1</v>
      </c>
      <c r="I67">
        <v>0</v>
      </c>
      <c r="J67">
        <v>0</v>
      </c>
      <c r="K67">
        <v>0</v>
      </c>
      <c r="L67">
        <v>1</v>
      </c>
      <c r="M67">
        <v>1</v>
      </c>
      <c r="N67">
        <v>0</v>
      </c>
      <c r="O67">
        <v>0</v>
      </c>
      <c r="P67">
        <v>0</v>
      </c>
      <c r="Q67">
        <v>0</v>
      </c>
    </row>
    <row r="68" spans="1:17" x14ac:dyDescent="0.3">
      <c r="A68" t="s">
        <v>427</v>
      </c>
      <c r="B68">
        <v>1</v>
      </c>
      <c r="C68">
        <v>0</v>
      </c>
      <c r="D68">
        <v>1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1</v>
      </c>
      <c r="L68">
        <v>0</v>
      </c>
      <c r="M68">
        <v>0</v>
      </c>
      <c r="N68">
        <v>1</v>
      </c>
      <c r="O68">
        <v>0</v>
      </c>
      <c r="P68">
        <v>0</v>
      </c>
      <c r="Q68">
        <v>0</v>
      </c>
    </row>
    <row r="69" spans="1:17" x14ac:dyDescent="0.3">
      <c r="A69" t="s">
        <v>428</v>
      </c>
      <c r="B69">
        <v>0</v>
      </c>
      <c r="C69">
        <v>0</v>
      </c>
      <c r="D69">
        <v>0</v>
      </c>
      <c r="E69">
        <v>0</v>
      </c>
      <c r="F69">
        <v>0</v>
      </c>
      <c r="G69">
        <v>1</v>
      </c>
      <c r="H69">
        <v>1</v>
      </c>
      <c r="I69">
        <v>1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</row>
    <row r="70" spans="1:17" x14ac:dyDescent="0.3">
      <c r="A70" t="s">
        <v>429</v>
      </c>
      <c r="B70">
        <v>0</v>
      </c>
      <c r="C70">
        <v>0</v>
      </c>
      <c r="D70">
        <v>0</v>
      </c>
      <c r="E70">
        <v>1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1</v>
      </c>
      <c r="M70">
        <v>0</v>
      </c>
      <c r="N70">
        <v>0</v>
      </c>
      <c r="O70">
        <v>0</v>
      </c>
      <c r="P70">
        <v>1</v>
      </c>
      <c r="Q70">
        <v>1</v>
      </c>
    </row>
    <row r="71" spans="1:17" x14ac:dyDescent="0.3">
      <c r="A71" t="s">
        <v>460</v>
      </c>
      <c r="B71">
        <v>0</v>
      </c>
      <c r="C71">
        <v>1</v>
      </c>
      <c r="D71">
        <v>1</v>
      </c>
      <c r="E71">
        <v>0</v>
      </c>
      <c r="F71">
        <v>0</v>
      </c>
      <c r="G71">
        <v>0</v>
      </c>
      <c r="H71">
        <v>0</v>
      </c>
      <c r="I71">
        <v>0</v>
      </c>
      <c r="J71">
        <v>1</v>
      </c>
      <c r="K71">
        <v>0</v>
      </c>
      <c r="L71">
        <v>0</v>
      </c>
      <c r="M71">
        <v>0</v>
      </c>
      <c r="N71">
        <v>0</v>
      </c>
      <c r="O71">
        <v>0</v>
      </c>
      <c r="P71">
        <v>1</v>
      </c>
      <c r="Q71">
        <v>0</v>
      </c>
    </row>
    <row r="72" spans="1:17" x14ac:dyDescent="0.3">
      <c r="A72" t="s">
        <v>461</v>
      </c>
      <c r="B72">
        <v>1</v>
      </c>
      <c r="C72">
        <v>0</v>
      </c>
      <c r="D72">
        <v>0</v>
      </c>
      <c r="E72">
        <v>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1</v>
      </c>
    </row>
    <row r="73" spans="1:17" x14ac:dyDescent="0.3">
      <c r="A73" t="s">
        <v>462</v>
      </c>
      <c r="B73">
        <v>0</v>
      </c>
      <c r="C73">
        <v>0</v>
      </c>
      <c r="D73">
        <v>0</v>
      </c>
      <c r="E73">
        <v>0</v>
      </c>
      <c r="F73">
        <v>1</v>
      </c>
      <c r="G73">
        <v>1</v>
      </c>
      <c r="H73">
        <v>1</v>
      </c>
      <c r="I73">
        <v>1</v>
      </c>
      <c r="J73">
        <v>0</v>
      </c>
      <c r="K73">
        <v>0</v>
      </c>
      <c r="L73">
        <v>1</v>
      </c>
      <c r="M73">
        <v>0</v>
      </c>
      <c r="N73">
        <v>0</v>
      </c>
      <c r="O73">
        <v>0</v>
      </c>
      <c r="P73">
        <v>0</v>
      </c>
      <c r="Q73">
        <v>0</v>
      </c>
    </row>
    <row r="74" spans="1:17" x14ac:dyDescent="0.3">
      <c r="A74" t="s">
        <v>457</v>
      </c>
      <c r="B74">
        <v>1</v>
      </c>
      <c r="C74">
        <v>0</v>
      </c>
      <c r="D74">
        <v>0</v>
      </c>
      <c r="E74">
        <v>0</v>
      </c>
      <c r="F74">
        <v>1</v>
      </c>
      <c r="G74">
        <v>0</v>
      </c>
      <c r="H74">
        <v>0</v>
      </c>
      <c r="I74">
        <v>0</v>
      </c>
      <c r="J74">
        <v>1</v>
      </c>
      <c r="K74">
        <v>0</v>
      </c>
      <c r="L74">
        <v>0</v>
      </c>
      <c r="M74">
        <v>1</v>
      </c>
      <c r="N74">
        <v>0</v>
      </c>
      <c r="O74">
        <v>0</v>
      </c>
      <c r="P74">
        <v>0</v>
      </c>
      <c r="Q74">
        <v>1</v>
      </c>
    </row>
    <row r="75" spans="1:17" x14ac:dyDescent="0.3">
      <c r="A75" t="s">
        <v>458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1</v>
      </c>
      <c r="I75">
        <v>0</v>
      </c>
      <c r="J75">
        <v>0</v>
      </c>
      <c r="K75">
        <v>1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</row>
    <row r="76" spans="1:17" x14ac:dyDescent="0.3">
      <c r="A76" t="s">
        <v>459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1</v>
      </c>
      <c r="J76">
        <v>0</v>
      </c>
      <c r="K76">
        <v>0</v>
      </c>
      <c r="L76">
        <v>0</v>
      </c>
      <c r="M76">
        <v>0</v>
      </c>
      <c r="N76">
        <v>1</v>
      </c>
      <c r="O76">
        <v>1</v>
      </c>
      <c r="P76">
        <v>1</v>
      </c>
      <c r="Q76">
        <v>0</v>
      </c>
    </row>
    <row r="77" spans="1:17" x14ac:dyDescent="0.3">
      <c r="A77" t="s">
        <v>473</v>
      </c>
      <c r="B77">
        <v>0</v>
      </c>
      <c r="C77">
        <v>0</v>
      </c>
      <c r="D77">
        <v>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1</v>
      </c>
      <c r="L77">
        <v>0</v>
      </c>
      <c r="M77">
        <v>0</v>
      </c>
      <c r="N77">
        <v>0</v>
      </c>
      <c r="O77">
        <v>0</v>
      </c>
      <c r="P77">
        <v>1</v>
      </c>
      <c r="Q77">
        <v>0</v>
      </c>
    </row>
    <row r="78" spans="1:17" x14ac:dyDescent="0.3">
      <c r="A78" t="s">
        <v>474</v>
      </c>
      <c r="B78">
        <v>1</v>
      </c>
      <c r="C78">
        <v>1</v>
      </c>
      <c r="D78">
        <v>0</v>
      </c>
      <c r="E78">
        <v>1</v>
      </c>
      <c r="F78">
        <v>0</v>
      </c>
      <c r="G78">
        <v>0</v>
      </c>
      <c r="H78">
        <v>0</v>
      </c>
      <c r="I78">
        <v>0</v>
      </c>
      <c r="J78">
        <v>1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</row>
    <row r="79" spans="1:17" x14ac:dyDescent="0.3">
      <c r="A79" t="s">
        <v>475</v>
      </c>
      <c r="B79">
        <v>0</v>
      </c>
      <c r="C79">
        <v>0</v>
      </c>
      <c r="D79">
        <v>0</v>
      </c>
      <c r="E79">
        <v>0</v>
      </c>
      <c r="F79">
        <v>1</v>
      </c>
      <c r="G79">
        <v>1</v>
      </c>
      <c r="H79">
        <v>1</v>
      </c>
      <c r="I79">
        <v>1</v>
      </c>
      <c r="J79">
        <v>0</v>
      </c>
      <c r="K79">
        <v>0</v>
      </c>
      <c r="L79">
        <v>1</v>
      </c>
      <c r="M79">
        <v>0</v>
      </c>
      <c r="N79">
        <v>0</v>
      </c>
      <c r="O79">
        <v>0</v>
      </c>
      <c r="P79">
        <v>0</v>
      </c>
      <c r="Q79">
        <v>0</v>
      </c>
    </row>
    <row r="80" spans="1:17" x14ac:dyDescent="0.3">
      <c r="A80" t="s">
        <v>466</v>
      </c>
      <c r="B80">
        <v>0</v>
      </c>
      <c r="C80">
        <v>0</v>
      </c>
      <c r="D80">
        <v>0</v>
      </c>
      <c r="E80">
        <v>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1</v>
      </c>
      <c r="N80">
        <v>0</v>
      </c>
      <c r="O80">
        <v>0</v>
      </c>
      <c r="P80">
        <v>0</v>
      </c>
      <c r="Q80">
        <v>1</v>
      </c>
    </row>
    <row r="81" spans="1:17" x14ac:dyDescent="0.3">
      <c r="A81" t="s">
        <v>467</v>
      </c>
      <c r="B81">
        <v>0</v>
      </c>
      <c r="C81">
        <v>0</v>
      </c>
      <c r="D81">
        <v>1</v>
      </c>
      <c r="E81">
        <v>0</v>
      </c>
      <c r="F81">
        <v>0</v>
      </c>
      <c r="G81">
        <v>0</v>
      </c>
      <c r="H81">
        <v>0</v>
      </c>
      <c r="I81">
        <v>1</v>
      </c>
      <c r="J81">
        <v>0</v>
      </c>
      <c r="K81">
        <v>0</v>
      </c>
      <c r="L81">
        <v>1</v>
      </c>
      <c r="M81">
        <v>0</v>
      </c>
      <c r="N81">
        <v>0</v>
      </c>
      <c r="O81">
        <v>0</v>
      </c>
      <c r="P81">
        <v>1</v>
      </c>
      <c r="Q81">
        <v>0</v>
      </c>
    </row>
    <row r="82" spans="1:17" x14ac:dyDescent="0.3">
      <c r="A82" t="s">
        <v>468</v>
      </c>
      <c r="B82">
        <v>0</v>
      </c>
      <c r="C82">
        <v>1</v>
      </c>
      <c r="D82">
        <v>0</v>
      </c>
      <c r="E82">
        <v>0</v>
      </c>
      <c r="F82">
        <v>0</v>
      </c>
      <c r="G82">
        <v>1</v>
      </c>
      <c r="H82">
        <v>1</v>
      </c>
      <c r="I82">
        <v>0</v>
      </c>
      <c r="J82">
        <v>0</v>
      </c>
      <c r="K82">
        <v>1</v>
      </c>
      <c r="L82">
        <v>0</v>
      </c>
      <c r="M82">
        <v>0</v>
      </c>
      <c r="N82">
        <v>0</v>
      </c>
      <c r="O82">
        <v>1</v>
      </c>
      <c r="P82">
        <v>0</v>
      </c>
      <c r="Q82">
        <v>0</v>
      </c>
    </row>
    <row r="83" spans="1:17" x14ac:dyDescent="0.3">
      <c r="A83" t="s">
        <v>463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1</v>
      </c>
      <c r="K83">
        <v>0</v>
      </c>
      <c r="L83">
        <v>0</v>
      </c>
      <c r="M83">
        <v>1</v>
      </c>
      <c r="N83">
        <v>0</v>
      </c>
      <c r="O83">
        <v>0</v>
      </c>
      <c r="P83">
        <v>0</v>
      </c>
      <c r="Q83">
        <v>0</v>
      </c>
    </row>
    <row r="84" spans="1:17" x14ac:dyDescent="0.3">
      <c r="A84" t="s">
        <v>464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1</v>
      </c>
      <c r="I84">
        <v>1</v>
      </c>
      <c r="J84">
        <v>0</v>
      </c>
      <c r="K84">
        <v>1</v>
      </c>
      <c r="L84">
        <v>1</v>
      </c>
      <c r="M84">
        <v>0</v>
      </c>
      <c r="N84">
        <v>0</v>
      </c>
      <c r="O84">
        <v>0</v>
      </c>
      <c r="P84">
        <v>0</v>
      </c>
      <c r="Q84">
        <v>0</v>
      </c>
    </row>
    <row r="85" spans="1:17" x14ac:dyDescent="0.3">
      <c r="A85" t="s">
        <v>465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</v>
      </c>
      <c r="O85">
        <v>1</v>
      </c>
      <c r="P85">
        <v>1</v>
      </c>
      <c r="Q85">
        <v>1</v>
      </c>
    </row>
    <row r="86" spans="1:17" x14ac:dyDescent="0.3">
      <c r="A86" t="s">
        <v>499</v>
      </c>
      <c r="B86">
        <v>0</v>
      </c>
      <c r="C86">
        <v>0</v>
      </c>
      <c r="D86">
        <v>1</v>
      </c>
      <c r="E86">
        <v>0</v>
      </c>
      <c r="F86">
        <v>0</v>
      </c>
      <c r="G86">
        <v>0</v>
      </c>
      <c r="H86">
        <v>0</v>
      </c>
      <c r="I86">
        <v>1</v>
      </c>
      <c r="J86">
        <v>1</v>
      </c>
      <c r="K86">
        <v>1</v>
      </c>
      <c r="L86">
        <v>0</v>
      </c>
      <c r="M86">
        <v>1</v>
      </c>
      <c r="N86">
        <v>0</v>
      </c>
      <c r="O86">
        <v>0</v>
      </c>
      <c r="P86">
        <v>0</v>
      </c>
      <c r="Q86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10687-D502-4817-BBA3-DC05E6F8683F}">
  <dimension ref="A1:CH17"/>
  <sheetViews>
    <sheetView workbookViewId="0">
      <selection sqref="A1:CH17"/>
    </sheetView>
  </sheetViews>
  <sheetFormatPr defaultRowHeight="14.4" x14ac:dyDescent="0.3"/>
  <sheetData>
    <row r="1" spans="1:86" x14ac:dyDescent="0.3">
      <c r="A1" t="s">
        <v>270</v>
      </c>
      <c r="B1" t="s">
        <v>280</v>
      </c>
      <c r="C1" t="s">
        <v>282</v>
      </c>
      <c r="D1" t="s">
        <v>286</v>
      </c>
      <c r="E1" t="s">
        <v>287</v>
      </c>
      <c r="F1" t="s">
        <v>289</v>
      </c>
      <c r="G1" t="s">
        <v>290</v>
      </c>
      <c r="H1" t="s">
        <v>291</v>
      </c>
      <c r="I1" t="s">
        <v>292</v>
      </c>
      <c r="J1" t="s">
        <v>293</v>
      </c>
      <c r="K1" t="s">
        <v>294</v>
      </c>
      <c r="L1" t="s">
        <v>295</v>
      </c>
      <c r="M1" t="s">
        <v>297</v>
      </c>
      <c r="N1" t="s">
        <v>298</v>
      </c>
      <c r="O1" t="s">
        <v>299</v>
      </c>
      <c r="P1" t="s">
        <v>300</v>
      </c>
      <c r="Q1" t="s">
        <v>307</v>
      </c>
      <c r="R1" t="s">
        <v>308</v>
      </c>
      <c r="S1" t="s">
        <v>309</v>
      </c>
      <c r="T1" t="s">
        <v>322</v>
      </c>
      <c r="U1" t="s">
        <v>323</v>
      </c>
      <c r="V1" t="s">
        <v>329</v>
      </c>
      <c r="W1" t="s">
        <v>330</v>
      </c>
      <c r="X1" t="s">
        <v>331</v>
      </c>
      <c r="Y1" t="s">
        <v>332</v>
      </c>
      <c r="Z1" t="s">
        <v>333</v>
      </c>
      <c r="AA1" t="s">
        <v>340</v>
      </c>
      <c r="AB1" t="s">
        <v>342</v>
      </c>
      <c r="AC1" t="s">
        <v>343</v>
      </c>
      <c r="AD1" t="s">
        <v>344</v>
      </c>
      <c r="AE1" t="s">
        <v>345</v>
      </c>
      <c r="AF1" t="s">
        <v>349</v>
      </c>
      <c r="AG1" t="s">
        <v>350</v>
      </c>
      <c r="AH1" t="s">
        <v>353</v>
      </c>
      <c r="AI1" t="s">
        <v>354</v>
      </c>
      <c r="AJ1" t="s">
        <v>355</v>
      </c>
      <c r="AK1" t="s">
        <v>356</v>
      </c>
      <c r="AL1" t="s">
        <v>357</v>
      </c>
      <c r="AM1" t="s">
        <v>358</v>
      </c>
      <c r="AN1" t="s">
        <v>359</v>
      </c>
      <c r="AO1" t="s">
        <v>360</v>
      </c>
      <c r="AP1" t="s">
        <v>361</v>
      </c>
      <c r="AQ1" t="s">
        <v>362</v>
      </c>
      <c r="AR1" t="s">
        <v>382</v>
      </c>
      <c r="AS1" t="s">
        <v>383</v>
      </c>
      <c r="AT1" t="s">
        <v>379</v>
      </c>
      <c r="AU1" t="s">
        <v>380</v>
      </c>
      <c r="AV1" t="s">
        <v>376</v>
      </c>
      <c r="AW1" t="s">
        <v>377</v>
      </c>
      <c r="AX1" t="s">
        <v>370</v>
      </c>
      <c r="AY1" t="s">
        <v>371</v>
      </c>
      <c r="AZ1" t="s">
        <v>397</v>
      </c>
      <c r="BA1" t="s">
        <v>398</v>
      </c>
      <c r="BB1" t="s">
        <v>399</v>
      </c>
      <c r="BC1" t="s">
        <v>424</v>
      </c>
      <c r="BD1" t="s">
        <v>425</v>
      </c>
      <c r="BE1" t="s">
        <v>418</v>
      </c>
      <c r="BF1" t="s">
        <v>419</v>
      </c>
      <c r="BG1" t="s">
        <v>415</v>
      </c>
      <c r="BH1" t="s">
        <v>417</v>
      </c>
      <c r="BI1" t="s">
        <v>440</v>
      </c>
      <c r="BJ1" t="s">
        <v>441</v>
      </c>
      <c r="BK1" t="s">
        <v>442</v>
      </c>
      <c r="BL1" t="s">
        <v>437</v>
      </c>
      <c r="BM1" t="s">
        <v>439</v>
      </c>
      <c r="BN1" t="s">
        <v>434</v>
      </c>
      <c r="BO1" t="s">
        <v>436</v>
      </c>
      <c r="BP1" t="s">
        <v>427</v>
      </c>
      <c r="BQ1" t="s">
        <v>428</v>
      </c>
      <c r="BR1" t="s">
        <v>429</v>
      </c>
      <c r="BS1" t="s">
        <v>460</v>
      </c>
      <c r="BT1" t="s">
        <v>461</v>
      </c>
      <c r="BU1" t="s">
        <v>462</v>
      </c>
      <c r="BV1" t="s">
        <v>457</v>
      </c>
      <c r="BW1" t="s">
        <v>458</v>
      </c>
      <c r="BX1" t="s">
        <v>459</v>
      </c>
      <c r="BY1" t="s">
        <v>473</v>
      </c>
      <c r="BZ1" t="s">
        <v>474</v>
      </c>
      <c r="CA1" t="s">
        <v>475</v>
      </c>
      <c r="CB1" t="s">
        <v>466</v>
      </c>
      <c r="CC1" t="s">
        <v>467</v>
      </c>
      <c r="CD1" t="s">
        <v>468</v>
      </c>
      <c r="CE1" t="s">
        <v>463</v>
      </c>
      <c r="CF1" t="s">
        <v>464</v>
      </c>
      <c r="CG1" t="s">
        <v>465</v>
      </c>
      <c r="CH1" t="s">
        <v>499</v>
      </c>
    </row>
    <row r="2" spans="1:86" x14ac:dyDescent="0.3">
      <c r="A2" s="16">
        <v>45352</v>
      </c>
      <c r="B2">
        <v>1</v>
      </c>
      <c r="C2">
        <v>0</v>
      </c>
      <c r="D2">
        <v>0</v>
      </c>
      <c r="E2">
        <v>1</v>
      </c>
      <c r="F2">
        <v>0</v>
      </c>
      <c r="G2">
        <v>1</v>
      </c>
      <c r="H2">
        <v>0</v>
      </c>
      <c r="I2">
        <v>0</v>
      </c>
      <c r="J2">
        <v>1</v>
      </c>
      <c r="K2">
        <v>0</v>
      </c>
      <c r="L2">
        <v>1</v>
      </c>
      <c r="M2">
        <v>0</v>
      </c>
      <c r="N2">
        <v>1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1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1</v>
      </c>
      <c r="AF2">
        <v>0</v>
      </c>
      <c r="AG2">
        <v>1</v>
      </c>
      <c r="AH2">
        <v>0</v>
      </c>
      <c r="AI2">
        <v>1</v>
      </c>
      <c r="AJ2">
        <v>1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</v>
      </c>
      <c r="AR2">
        <v>0</v>
      </c>
      <c r="AS2">
        <v>1</v>
      </c>
      <c r="AT2">
        <v>0</v>
      </c>
      <c r="AU2">
        <v>1</v>
      </c>
      <c r="AV2">
        <v>0</v>
      </c>
      <c r="AW2">
        <v>1</v>
      </c>
      <c r="AX2">
        <v>0</v>
      </c>
      <c r="AY2">
        <v>1</v>
      </c>
      <c r="AZ2">
        <v>1</v>
      </c>
      <c r="BA2">
        <v>0</v>
      </c>
      <c r="BB2">
        <v>0</v>
      </c>
      <c r="BC2">
        <v>0</v>
      </c>
      <c r="BD2">
        <v>1</v>
      </c>
      <c r="BE2">
        <v>1</v>
      </c>
      <c r="BF2">
        <v>0</v>
      </c>
      <c r="BG2">
        <v>1</v>
      </c>
      <c r="BH2">
        <v>0</v>
      </c>
      <c r="BI2">
        <v>1</v>
      </c>
      <c r="BJ2">
        <v>0</v>
      </c>
      <c r="BK2">
        <v>0</v>
      </c>
      <c r="BL2">
        <v>1</v>
      </c>
      <c r="BM2">
        <v>0</v>
      </c>
      <c r="BN2">
        <v>1</v>
      </c>
      <c r="BO2">
        <v>0</v>
      </c>
      <c r="BP2">
        <v>1</v>
      </c>
      <c r="BQ2">
        <v>0</v>
      </c>
      <c r="BR2">
        <v>0</v>
      </c>
      <c r="BS2">
        <v>0</v>
      </c>
      <c r="BT2">
        <v>1</v>
      </c>
      <c r="BU2">
        <v>0</v>
      </c>
      <c r="BV2">
        <v>1</v>
      </c>
      <c r="BW2">
        <v>0</v>
      </c>
      <c r="BX2">
        <v>0</v>
      </c>
      <c r="BY2">
        <v>0</v>
      </c>
      <c r="BZ2">
        <v>1</v>
      </c>
      <c r="CA2">
        <v>0</v>
      </c>
      <c r="CB2">
        <v>0</v>
      </c>
      <c r="CC2">
        <v>0</v>
      </c>
      <c r="CD2">
        <v>0</v>
      </c>
      <c r="CE2">
        <v>1</v>
      </c>
      <c r="CF2">
        <v>0</v>
      </c>
      <c r="CG2">
        <v>0</v>
      </c>
      <c r="CH2">
        <v>0</v>
      </c>
    </row>
    <row r="3" spans="1:86" x14ac:dyDescent="0.3">
      <c r="A3" s="16">
        <v>45261</v>
      </c>
      <c r="B3">
        <v>1</v>
      </c>
      <c r="C3">
        <v>0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>
        <v>0</v>
      </c>
      <c r="M3">
        <v>1</v>
      </c>
      <c r="N3">
        <v>0</v>
      </c>
      <c r="O3">
        <v>0</v>
      </c>
      <c r="P3">
        <v>1</v>
      </c>
      <c r="Q3">
        <v>0</v>
      </c>
      <c r="R3">
        <v>0</v>
      </c>
      <c r="S3">
        <v>1</v>
      </c>
      <c r="T3">
        <v>0</v>
      </c>
      <c r="U3">
        <v>1</v>
      </c>
      <c r="V3">
        <v>0</v>
      </c>
      <c r="W3">
        <v>1</v>
      </c>
      <c r="X3">
        <v>0</v>
      </c>
      <c r="Y3">
        <v>0</v>
      </c>
      <c r="Z3">
        <v>1</v>
      </c>
      <c r="AA3">
        <v>1</v>
      </c>
      <c r="AB3">
        <v>0</v>
      </c>
      <c r="AC3">
        <v>0</v>
      </c>
      <c r="AD3">
        <v>0</v>
      </c>
      <c r="AE3">
        <v>1</v>
      </c>
      <c r="AF3">
        <v>0</v>
      </c>
      <c r="AG3">
        <v>1</v>
      </c>
      <c r="AH3">
        <v>0</v>
      </c>
      <c r="AI3">
        <v>1</v>
      </c>
      <c r="AJ3">
        <v>0</v>
      </c>
      <c r="AK3">
        <v>0</v>
      </c>
      <c r="AL3">
        <v>0</v>
      </c>
      <c r="AM3">
        <v>1</v>
      </c>
      <c r="AN3">
        <v>0</v>
      </c>
      <c r="AO3">
        <v>0</v>
      </c>
      <c r="AP3">
        <v>1</v>
      </c>
      <c r="AQ3">
        <v>0</v>
      </c>
      <c r="AR3">
        <v>0</v>
      </c>
      <c r="AS3">
        <v>1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1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1</v>
      </c>
      <c r="BN3">
        <v>0</v>
      </c>
      <c r="BO3">
        <v>1</v>
      </c>
      <c r="BP3">
        <v>0</v>
      </c>
      <c r="BQ3">
        <v>0</v>
      </c>
      <c r="BR3">
        <v>0</v>
      </c>
      <c r="BS3">
        <v>1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1</v>
      </c>
      <c r="CA3">
        <v>0</v>
      </c>
      <c r="CB3">
        <v>0</v>
      </c>
      <c r="CC3">
        <v>0</v>
      </c>
      <c r="CD3">
        <v>1</v>
      </c>
      <c r="CE3">
        <v>0</v>
      </c>
      <c r="CF3">
        <v>0</v>
      </c>
      <c r="CG3">
        <v>0</v>
      </c>
      <c r="CH3">
        <v>0</v>
      </c>
    </row>
    <row r="4" spans="1:86" x14ac:dyDescent="0.3">
      <c r="A4" s="16">
        <v>45170</v>
      </c>
      <c r="B4">
        <v>0</v>
      </c>
      <c r="C4">
        <v>1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1</v>
      </c>
      <c r="S4">
        <v>0</v>
      </c>
      <c r="T4">
        <v>1</v>
      </c>
      <c r="U4">
        <v>0</v>
      </c>
      <c r="V4">
        <v>1</v>
      </c>
      <c r="W4">
        <v>0</v>
      </c>
      <c r="X4">
        <v>0</v>
      </c>
      <c r="Y4">
        <v>1</v>
      </c>
      <c r="Z4">
        <v>0</v>
      </c>
      <c r="AA4">
        <v>1</v>
      </c>
      <c r="AB4">
        <v>0</v>
      </c>
      <c r="AC4">
        <v>1</v>
      </c>
      <c r="AD4">
        <v>0</v>
      </c>
      <c r="AE4">
        <v>0</v>
      </c>
      <c r="AF4">
        <v>0</v>
      </c>
      <c r="AG4">
        <v>1</v>
      </c>
      <c r="AH4">
        <v>1</v>
      </c>
      <c r="AI4">
        <v>0</v>
      </c>
      <c r="AJ4">
        <v>0</v>
      </c>
      <c r="AK4">
        <v>0</v>
      </c>
      <c r="AL4">
        <v>0</v>
      </c>
      <c r="AM4">
        <v>1</v>
      </c>
      <c r="AN4">
        <v>0</v>
      </c>
      <c r="AO4">
        <v>0</v>
      </c>
      <c r="AP4">
        <v>0</v>
      </c>
      <c r="AQ4">
        <v>1</v>
      </c>
      <c r="AR4">
        <v>0</v>
      </c>
      <c r="AS4">
        <v>0</v>
      </c>
      <c r="AT4">
        <v>1</v>
      </c>
      <c r="AU4">
        <v>0</v>
      </c>
      <c r="AV4">
        <v>1</v>
      </c>
      <c r="AW4">
        <v>0</v>
      </c>
      <c r="AX4">
        <v>1</v>
      </c>
      <c r="AY4">
        <v>0</v>
      </c>
      <c r="AZ4">
        <v>0</v>
      </c>
      <c r="BA4">
        <v>0</v>
      </c>
      <c r="BB4">
        <v>0</v>
      </c>
      <c r="BC4">
        <v>1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1</v>
      </c>
      <c r="BN4">
        <v>0</v>
      </c>
      <c r="BO4">
        <v>1</v>
      </c>
      <c r="BP4">
        <v>1</v>
      </c>
      <c r="BQ4">
        <v>0</v>
      </c>
      <c r="BR4">
        <v>0</v>
      </c>
      <c r="BS4">
        <v>1</v>
      </c>
      <c r="BT4">
        <v>0</v>
      </c>
      <c r="BU4">
        <v>0</v>
      </c>
      <c r="BV4">
        <v>0</v>
      </c>
      <c r="BW4">
        <v>0</v>
      </c>
      <c r="BX4">
        <v>0</v>
      </c>
      <c r="BY4">
        <v>1</v>
      </c>
      <c r="BZ4">
        <v>0</v>
      </c>
      <c r="CA4">
        <v>0</v>
      </c>
      <c r="CB4">
        <v>0</v>
      </c>
      <c r="CC4">
        <v>1</v>
      </c>
      <c r="CD4">
        <v>0</v>
      </c>
      <c r="CE4">
        <v>0</v>
      </c>
      <c r="CF4">
        <v>0</v>
      </c>
      <c r="CG4">
        <v>0</v>
      </c>
      <c r="CH4">
        <v>1</v>
      </c>
    </row>
    <row r="5" spans="1:86" x14ac:dyDescent="0.3">
      <c r="A5" s="16">
        <v>45078</v>
      </c>
      <c r="B5">
        <v>1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1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1</v>
      </c>
      <c r="W5">
        <v>0</v>
      </c>
      <c r="X5">
        <v>1</v>
      </c>
      <c r="Y5">
        <v>0</v>
      </c>
      <c r="Z5">
        <v>0</v>
      </c>
      <c r="AA5">
        <v>1</v>
      </c>
      <c r="AB5">
        <v>0</v>
      </c>
      <c r="AC5">
        <v>1</v>
      </c>
      <c r="AD5">
        <v>0</v>
      </c>
      <c r="AE5">
        <v>0</v>
      </c>
      <c r="AF5">
        <v>0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0</v>
      </c>
      <c r="AP5">
        <v>0</v>
      </c>
      <c r="AQ5">
        <v>1</v>
      </c>
      <c r="AR5">
        <v>1</v>
      </c>
      <c r="AS5">
        <v>0</v>
      </c>
      <c r="AT5">
        <v>0</v>
      </c>
      <c r="AU5">
        <v>1</v>
      </c>
      <c r="AV5">
        <v>0</v>
      </c>
      <c r="AW5">
        <v>1</v>
      </c>
      <c r="AX5">
        <v>0</v>
      </c>
      <c r="AY5">
        <v>1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1</v>
      </c>
      <c r="BJ5">
        <v>0</v>
      </c>
      <c r="BK5">
        <v>0</v>
      </c>
      <c r="BL5">
        <v>0</v>
      </c>
      <c r="BM5">
        <v>1</v>
      </c>
      <c r="BN5">
        <v>1</v>
      </c>
      <c r="BO5">
        <v>0</v>
      </c>
      <c r="BP5">
        <v>0</v>
      </c>
      <c r="BQ5">
        <v>0</v>
      </c>
      <c r="BR5">
        <v>1</v>
      </c>
      <c r="BS5">
        <v>0</v>
      </c>
      <c r="BT5">
        <v>1</v>
      </c>
      <c r="BU5">
        <v>0</v>
      </c>
      <c r="BV5">
        <v>0</v>
      </c>
      <c r="BW5">
        <v>0</v>
      </c>
      <c r="BX5">
        <v>0</v>
      </c>
      <c r="BY5">
        <v>0</v>
      </c>
      <c r="BZ5">
        <v>1</v>
      </c>
      <c r="CA5">
        <v>0</v>
      </c>
      <c r="CB5">
        <v>1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</row>
    <row r="6" spans="1:86" x14ac:dyDescent="0.3">
      <c r="A6" s="16">
        <v>44986</v>
      </c>
      <c r="B6">
        <v>1</v>
      </c>
      <c r="C6">
        <v>0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0</v>
      </c>
      <c r="W6">
        <v>0</v>
      </c>
      <c r="X6">
        <v>0</v>
      </c>
      <c r="Y6">
        <v>0</v>
      </c>
      <c r="Z6">
        <v>0</v>
      </c>
      <c r="AA6">
        <v>1</v>
      </c>
      <c r="AB6">
        <v>0</v>
      </c>
      <c r="AC6">
        <v>0</v>
      </c>
      <c r="AD6">
        <v>1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0</v>
      </c>
      <c r="AP6">
        <v>0</v>
      </c>
      <c r="AQ6">
        <v>0</v>
      </c>
      <c r="AR6">
        <v>0</v>
      </c>
      <c r="AS6">
        <v>1</v>
      </c>
      <c r="AT6">
        <v>0</v>
      </c>
      <c r="AU6">
        <v>1</v>
      </c>
      <c r="AV6">
        <v>0</v>
      </c>
      <c r="AW6">
        <v>1</v>
      </c>
      <c r="AX6">
        <v>0</v>
      </c>
      <c r="AY6">
        <v>1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1</v>
      </c>
      <c r="BJ6">
        <v>0</v>
      </c>
      <c r="BK6">
        <v>0</v>
      </c>
      <c r="BL6">
        <v>1</v>
      </c>
      <c r="BM6">
        <v>0</v>
      </c>
      <c r="BN6">
        <v>1</v>
      </c>
      <c r="BO6">
        <v>0</v>
      </c>
      <c r="BP6">
        <v>0</v>
      </c>
      <c r="BQ6">
        <v>0</v>
      </c>
      <c r="BR6">
        <v>1</v>
      </c>
      <c r="BS6">
        <v>0</v>
      </c>
      <c r="BT6">
        <v>0</v>
      </c>
      <c r="BU6">
        <v>1</v>
      </c>
      <c r="BV6">
        <v>1</v>
      </c>
      <c r="BW6">
        <v>0</v>
      </c>
      <c r="BX6">
        <v>0</v>
      </c>
      <c r="BY6">
        <v>0</v>
      </c>
      <c r="BZ6">
        <v>0</v>
      </c>
      <c r="CA6">
        <v>1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</row>
    <row r="7" spans="1:86" x14ac:dyDescent="0.3">
      <c r="A7" s="16">
        <v>44896</v>
      </c>
      <c r="B7">
        <v>1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  <c r="L7">
        <v>1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</v>
      </c>
      <c r="AC7">
        <v>1</v>
      </c>
      <c r="AD7">
        <v>0</v>
      </c>
      <c r="AE7">
        <v>0</v>
      </c>
      <c r="AF7">
        <v>0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0</v>
      </c>
      <c r="AP7">
        <v>0</v>
      </c>
      <c r="AQ7">
        <v>1</v>
      </c>
      <c r="AR7">
        <v>1</v>
      </c>
      <c r="AS7">
        <v>0</v>
      </c>
      <c r="AT7">
        <v>0</v>
      </c>
      <c r="AU7">
        <v>1</v>
      </c>
      <c r="AV7">
        <v>0</v>
      </c>
      <c r="AW7">
        <v>1</v>
      </c>
      <c r="AX7">
        <v>0</v>
      </c>
      <c r="AY7">
        <v>1</v>
      </c>
      <c r="AZ7">
        <v>0</v>
      </c>
      <c r="BA7">
        <v>0</v>
      </c>
      <c r="BB7">
        <v>0</v>
      </c>
      <c r="BC7">
        <v>0</v>
      </c>
      <c r="BD7">
        <v>1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1</v>
      </c>
      <c r="BM7">
        <v>0</v>
      </c>
      <c r="BN7">
        <v>1</v>
      </c>
      <c r="BO7">
        <v>0</v>
      </c>
      <c r="BP7">
        <v>0</v>
      </c>
      <c r="BQ7">
        <v>1</v>
      </c>
      <c r="BR7">
        <v>0</v>
      </c>
      <c r="BS7">
        <v>0</v>
      </c>
      <c r="BT7">
        <v>0</v>
      </c>
      <c r="BU7">
        <v>1</v>
      </c>
      <c r="BV7">
        <v>0</v>
      </c>
      <c r="BW7">
        <v>0</v>
      </c>
      <c r="BX7">
        <v>0</v>
      </c>
      <c r="BY7">
        <v>0</v>
      </c>
      <c r="BZ7">
        <v>0</v>
      </c>
      <c r="CA7">
        <v>1</v>
      </c>
      <c r="CB7">
        <v>0</v>
      </c>
      <c r="CC7">
        <v>0</v>
      </c>
      <c r="CD7">
        <v>1</v>
      </c>
      <c r="CE7">
        <v>0</v>
      </c>
      <c r="CF7">
        <v>0</v>
      </c>
      <c r="CG7">
        <v>0</v>
      </c>
      <c r="CH7">
        <v>0</v>
      </c>
    </row>
    <row r="8" spans="1:86" x14ac:dyDescent="0.3">
      <c r="A8" s="16">
        <v>44805</v>
      </c>
      <c r="B8">
        <v>1</v>
      </c>
      <c r="C8">
        <v>0</v>
      </c>
      <c r="D8">
        <v>0</v>
      </c>
      <c r="E8">
        <v>1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1</v>
      </c>
      <c r="AC8">
        <v>0</v>
      </c>
      <c r="AD8">
        <v>1</v>
      </c>
      <c r="AE8">
        <v>0</v>
      </c>
      <c r="AF8">
        <v>0</v>
      </c>
      <c r="AG8">
        <v>1</v>
      </c>
      <c r="AH8">
        <v>0</v>
      </c>
      <c r="AI8">
        <v>0</v>
      </c>
      <c r="AJ8">
        <v>0</v>
      </c>
      <c r="AK8">
        <v>1</v>
      </c>
      <c r="AL8">
        <v>0</v>
      </c>
      <c r="AM8">
        <v>1</v>
      </c>
      <c r="AN8">
        <v>0</v>
      </c>
      <c r="AO8">
        <v>0</v>
      </c>
      <c r="AP8">
        <v>0</v>
      </c>
      <c r="AQ8">
        <v>1</v>
      </c>
      <c r="AR8">
        <v>0</v>
      </c>
      <c r="AS8">
        <v>1</v>
      </c>
      <c r="AT8">
        <v>0</v>
      </c>
      <c r="AU8">
        <v>1</v>
      </c>
      <c r="AV8">
        <v>0</v>
      </c>
      <c r="AW8">
        <v>1</v>
      </c>
      <c r="AX8">
        <v>0</v>
      </c>
      <c r="AY8">
        <v>1</v>
      </c>
      <c r="AZ8">
        <v>0</v>
      </c>
      <c r="BA8">
        <v>1</v>
      </c>
      <c r="BB8">
        <v>0</v>
      </c>
      <c r="BC8">
        <v>0</v>
      </c>
      <c r="BD8">
        <v>1</v>
      </c>
      <c r="BE8">
        <v>0</v>
      </c>
      <c r="BF8">
        <v>1</v>
      </c>
      <c r="BG8">
        <v>1</v>
      </c>
      <c r="BH8">
        <v>0</v>
      </c>
      <c r="BI8">
        <v>1</v>
      </c>
      <c r="BJ8">
        <v>0</v>
      </c>
      <c r="BK8">
        <v>0</v>
      </c>
      <c r="BL8">
        <v>0</v>
      </c>
      <c r="BM8">
        <v>1</v>
      </c>
      <c r="BN8">
        <v>0</v>
      </c>
      <c r="BO8">
        <v>1</v>
      </c>
      <c r="BP8">
        <v>0</v>
      </c>
      <c r="BQ8">
        <v>1</v>
      </c>
      <c r="BR8">
        <v>0</v>
      </c>
      <c r="BS8">
        <v>0</v>
      </c>
      <c r="BT8">
        <v>0</v>
      </c>
      <c r="BU8">
        <v>1</v>
      </c>
      <c r="BV8">
        <v>0</v>
      </c>
      <c r="BW8">
        <v>1</v>
      </c>
      <c r="BX8">
        <v>0</v>
      </c>
      <c r="BY8">
        <v>0</v>
      </c>
      <c r="BZ8">
        <v>0</v>
      </c>
      <c r="CA8">
        <v>1</v>
      </c>
      <c r="CB8">
        <v>0</v>
      </c>
      <c r="CC8">
        <v>0</v>
      </c>
      <c r="CD8">
        <v>1</v>
      </c>
      <c r="CE8">
        <v>0</v>
      </c>
      <c r="CF8">
        <v>1</v>
      </c>
      <c r="CG8">
        <v>0</v>
      </c>
      <c r="CH8">
        <v>0</v>
      </c>
    </row>
    <row r="9" spans="1:86" x14ac:dyDescent="0.3">
      <c r="A9" s="16">
        <v>44713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1</v>
      </c>
      <c r="J9">
        <v>0</v>
      </c>
      <c r="K9">
        <v>0</v>
      </c>
      <c r="L9">
        <v>0</v>
      </c>
      <c r="M9">
        <v>1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>
        <v>0</v>
      </c>
      <c r="AG9">
        <v>1</v>
      </c>
      <c r="AH9">
        <v>0</v>
      </c>
      <c r="AI9">
        <v>0</v>
      </c>
      <c r="AJ9">
        <v>0</v>
      </c>
      <c r="AK9">
        <v>1</v>
      </c>
      <c r="AL9">
        <v>0</v>
      </c>
      <c r="AM9">
        <v>0</v>
      </c>
      <c r="AN9">
        <v>1</v>
      </c>
      <c r="AO9">
        <v>0</v>
      </c>
      <c r="AP9">
        <v>0</v>
      </c>
      <c r="AQ9">
        <v>1</v>
      </c>
      <c r="AR9">
        <v>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1</v>
      </c>
      <c r="BB9">
        <v>0</v>
      </c>
      <c r="BC9">
        <v>0</v>
      </c>
      <c r="BD9">
        <v>1</v>
      </c>
      <c r="BE9">
        <v>0</v>
      </c>
      <c r="BF9">
        <v>1</v>
      </c>
      <c r="BG9">
        <v>0</v>
      </c>
      <c r="BH9">
        <v>1</v>
      </c>
      <c r="BI9">
        <v>0</v>
      </c>
      <c r="BJ9">
        <v>1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1</v>
      </c>
      <c r="BR9">
        <v>0</v>
      </c>
      <c r="BS9">
        <v>0</v>
      </c>
      <c r="BT9">
        <v>0</v>
      </c>
      <c r="BU9">
        <v>1</v>
      </c>
      <c r="BV9">
        <v>0</v>
      </c>
      <c r="BW9">
        <v>0</v>
      </c>
      <c r="BX9">
        <v>1</v>
      </c>
      <c r="BY9">
        <v>0</v>
      </c>
      <c r="BZ9">
        <v>0</v>
      </c>
      <c r="CA9">
        <v>1</v>
      </c>
      <c r="CB9">
        <v>0</v>
      </c>
      <c r="CC9">
        <v>1</v>
      </c>
      <c r="CD9">
        <v>0</v>
      </c>
      <c r="CE9">
        <v>0</v>
      </c>
      <c r="CF9">
        <v>1</v>
      </c>
      <c r="CG9">
        <v>0</v>
      </c>
      <c r="CH9">
        <v>1</v>
      </c>
    </row>
    <row r="10" spans="1:86" x14ac:dyDescent="0.3">
      <c r="A10" s="16">
        <v>44621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1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1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1</v>
      </c>
      <c r="AK10">
        <v>0</v>
      </c>
      <c r="AL10">
        <v>0</v>
      </c>
      <c r="AM10">
        <v>0</v>
      </c>
      <c r="AN10">
        <v>1</v>
      </c>
      <c r="AO10">
        <v>0</v>
      </c>
      <c r="AP10">
        <v>0</v>
      </c>
      <c r="AQ10">
        <v>0</v>
      </c>
      <c r="AR10">
        <v>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1</v>
      </c>
      <c r="BA10">
        <v>0</v>
      </c>
      <c r="BB10">
        <v>0</v>
      </c>
      <c r="BC10">
        <v>1</v>
      </c>
      <c r="BD10">
        <v>0</v>
      </c>
      <c r="BE10">
        <v>1</v>
      </c>
      <c r="BF10">
        <v>0</v>
      </c>
      <c r="BG10">
        <v>1</v>
      </c>
      <c r="BH10">
        <v>0</v>
      </c>
      <c r="BI10">
        <v>0</v>
      </c>
      <c r="BJ10">
        <v>1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1</v>
      </c>
      <c r="BR10">
        <v>0</v>
      </c>
      <c r="BS10">
        <v>1</v>
      </c>
      <c r="BT10">
        <v>0</v>
      </c>
      <c r="BU10">
        <v>0</v>
      </c>
      <c r="BV10">
        <v>1</v>
      </c>
      <c r="BW10">
        <v>0</v>
      </c>
      <c r="BX10">
        <v>0</v>
      </c>
      <c r="BY10">
        <v>0</v>
      </c>
      <c r="BZ10">
        <v>1</v>
      </c>
      <c r="CA10">
        <v>0</v>
      </c>
      <c r="CB10">
        <v>0</v>
      </c>
      <c r="CC10">
        <v>0</v>
      </c>
      <c r="CD10">
        <v>0</v>
      </c>
      <c r="CE10">
        <v>1</v>
      </c>
      <c r="CF10">
        <v>0</v>
      </c>
      <c r="CG10">
        <v>0</v>
      </c>
      <c r="CH10">
        <v>1</v>
      </c>
    </row>
    <row r="11" spans="1:86" x14ac:dyDescent="0.3">
      <c r="A11" s="16">
        <v>44531</v>
      </c>
      <c r="B11">
        <v>0</v>
      </c>
      <c r="C11">
        <v>1</v>
      </c>
      <c r="D11">
        <v>1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1</v>
      </c>
      <c r="L11">
        <v>1</v>
      </c>
      <c r="M11">
        <v>0</v>
      </c>
      <c r="N11">
        <v>0</v>
      </c>
      <c r="O11">
        <v>0</v>
      </c>
      <c r="P11">
        <v>1</v>
      </c>
      <c r="Q11">
        <v>1</v>
      </c>
      <c r="R11">
        <v>0</v>
      </c>
      <c r="S11">
        <v>0</v>
      </c>
      <c r="T11">
        <v>0</v>
      </c>
      <c r="U11">
        <v>1</v>
      </c>
      <c r="V11">
        <v>1</v>
      </c>
      <c r="W11">
        <v>0</v>
      </c>
      <c r="X11">
        <v>1</v>
      </c>
      <c r="Y11">
        <v>0</v>
      </c>
      <c r="Z11">
        <v>0</v>
      </c>
      <c r="AA11">
        <v>1</v>
      </c>
      <c r="AB11">
        <v>0</v>
      </c>
      <c r="AC11">
        <v>0</v>
      </c>
      <c r="AD11">
        <v>0</v>
      </c>
      <c r="AE11">
        <v>0</v>
      </c>
      <c r="AF11">
        <v>1</v>
      </c>
      <c r="AG11">
        <v>0</v>
      </c>
      <c r="AH11">
        <v>0</v>
      </c>
      <c r="AI11">
        <v>0</v>
      </c>
      <c r="AJ11">
        <v>0</v>
      </c>
      <c r="AK11">
        <v>1</v>
      </c>
      <c r="AL11">
        <v>0</v>
      </c>
      <c r="AM11">
        <v>0</v>
      </c>
      <c r="AN11">
        <v>0</v>
      </c>
      <c r="AO11">
        <v>1</v>
      </c>
      <c r="AP11">
        <v>1</v>
      </c>
      <c r="AQ11">
        <v>0</v>
      </c>
      <c r="AR11">
        <v>0</v>
      </c>
      <c r="AS11">
        <v>0</v>
      </c>
      <c r="AT11">
        <v>0</v>
      </c>
      <c r="AU11">
        <v>1</v>
      </c>
      <c r="AV11">
        <v>0</v>
      </c>
      <c r="AW11">
        <v>1</v>
      </c>
      <c r="AX11">
        <v>0</v>
      </c>
      <c r="AY11">
        <v>1</v>
      </c>
      <c r="AZ11">
        <v>0</v>
      </c>
      <c r="BA11">
        <v>1</v>
      </c>
      <c r="BB11">
        <v>0</v>
      </c>
      <c r="BC11">
        <v>0</v>
      </c>
      <c r="BD11">
        <v>1</v>
      </c>
      <c r="BE11">
        <v>0</v>
      </c>
      <c r="BF11">
        <v>1</v>
      </c>
      <c r="BG11">
        <v>1</v>
      </c>
      <c r="BH11">
        <v>0</v>
      </c>
      <c r="BI11">
        <v>1</v>
      </c>
      <c r="BJ11">
        <v>0</v>
      </c>
      <c r="BK11">
        <v>0</v>
      </c>
      <c r="BL11">
        <v>1</v>
      </c>
      <c r="BM11">
        <v>0</v>
      </c>
      <c r="BN11">
        <v>1</v>
      </c>
      <c r="BO11">
        <v>0</v>
      </c>
      <c r="BP11">
        <v>1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1</v>
      </c>
      <c r="BX11">
        <v>0</v>
      </c>
      <c r="BY11">
        <v>1</v>
      </c>
      <c r="BZ11">
        <v>0</v>
      </c>
      <c r="CA11">
        <v>0</v>
      </c>
      <c r="CB11">
        <v>0</v>
      </c>
      <c r="CC11">
        <v>0</v>
      </c>
      <c r="CD11">
        <v>1</v>
      </c>
      <c r="CE11">
        <v>0</v>
      </c>
      <c r="CF11">
        <v>1</v>
      </c>
      <c r="CG11">
        <v>0</v>
      </c>
      <c r="CH11">
        <v>1</v>
      </c>
    </row>
    <row r="12" spans="1:86" x14ac:dyDescent="0.3">
      <c r="A12" s="16">
        <v>44440</v>
      </c>
      <c r="B12">
        <v>1</v>
      </c>
      <c r="C12">
        <v>0</v>
      </c>
      <c r="D12">
        <v>0</v>
      </c>
      <c r="E12">
        <v>1</v>
      </c>
      <c r="F12">
        <v>0</v>
      </c>
      <c r="G12">
        <v>0</v>
      </c>
      <c r="H12">
        <v>1</v>
      </c>
      <c r="I12">
        <v>0</v>
      </c>
      <c r="J12">
        <v>1</v>
      </c>
      <c r="K12">
        <v>0</v>
      </c>
      <c r="L12">
        <v>0</v>
      </c>
      <c r="M12">
        <v>1</v>
      </c>
      <c r="N12">
        <v>0</v>
      </c>
      <c r="O12">
        <v>1</v>
      </c>
      <c r="P12">
        <v>0</v>
      </c>
      <c r="Q12">
        <v>1</v>
      </c>
      <c r="R12">
        <v>0</v>
      </c>
      <c r="S12">
        <v>0</v>
      </c>
      <c r="T12">
        <v>1</v>
      </c>
      <c r="U12">
        <v>0</v>
      </c>
      <c r="V12">
        <v>0</v>
      </c>
      <c r="W12">
        <v>1</v>
      </c>
      <c r="X12">
        <v>0</v>
      </c>
      <c r="Y12">
        <v>0</v>
      </c>
      <c r="Z12">
        <v>0</v>
      </c>
      <c r="AA12">
        <v>0</v>
      </c>
      <c r="AB12">
        <v>1</v>
      </c>
      <c r="AC12">
        <v>1</v>
      </c>
      <c r="AD12">
        <v>0</v>
      </c>
      <c r="AE12">
        <v>0</v>
      </c>
      <c r="AF12">
        <v>1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1</v>
      </c>
      <c r="AM12">
        <v>0</v>
      </c>
      <c r="AN12">
        <v>0</v>
      </c>
      <c r="AO12">
        <v>1</v>
      </c>
      <c r="AP12">
        <v>0</v>
      </c>
      <c r="AQ12">
        <v>1</v>
      </c>
      <c r="AR12">
        <v>0</v>
      </c>
      <c r="AS12">
        <v>0</v>
      </c>
      <c r="AT12">
        <v>1</v>
      </c>
      <c r="AU12">
        <v>0</v>
      </c>
      <c r="AV12">
        <v>1</v>
      </c>
      <c r="AW12">
        <v>0</v>
      </c>
      <c r="AX12">
        <v>1</v>
      </c>
      <c r="AY12">
        <v>0</v>
      </c>
      <c r="AZ12">
        <v>0</v>
      </c>
      <c r="BA12">
        <v>0</v>
      </c>
      <c r="BB12">
        <v>1</v>
      </c>
      <c r="BC12">
        <v>1</v>
      </c>
      <c r="BD12">
        <v>0</v>
      </c>
      <c r="BE12">
        <v>0</v>
      </c>
      <c r="BF12">
        <v>1</v>
      </c>
      <c r="BG12">
        <v>0</v>
      </c>
      <c r="BH12">
        <v>1</v>
      </c>
      <c r="BI12">
        <v>0</v>
      </c>
      <c r="BJ12">
        <v>1</v>
      </c>
      <c r="BK12">
        <v>0</v>
      </c>
      <c r="BL12">
        <v>1</v>
      </c>
      <c r="BM12">
        <v>0</v>
      </c>
      <c r="BN12">
        <v>0</v>
      </c>
      <c r="BO12">
        <v>1</v>
      </c>
      <c r="BP12">
        <v>0</v>
      </c>
      <c r="BQ12">
        <v>0</v>
      </c>
      <c r="BR12">
        <v>1</v>
      </c>
      <c r="BS12">
        <v>0</v>
      </c>
      <c r="BT12">
        <v>0</v>
      </c>
      <c r="BU12">
        <v>1</v>
      </c>
      <c r="BV12">
        <v>0</v>
      </c>
      <c r="BW12">
        <v>1</v>
      </c>
      <c r="BX12">
        <v>0</v>
      </c>
      <c r="BY12">
        <v>0</v>
      </c>
      <c r="BZ12">
        <v>0</v>
      </c>
      <c r="CA12">
        <v>1</v>
      </c>
      <c r="CB12">
        <v>0</v>
      </c>
      <c r="CC12">
        <v>1</v>
      </c>
      <c r="CD12">
        <v>0</v>
      </c>
      <c r="CE12">
        <v>0</v>
      </c>
      <c r="CF12">
        <v>1</v>
      </c>
      <c r="CG12">
        <v>0</v>
      </c>
      <c r="CH12">
        <v>0</v>
      </c>
    </row>
    <row r="13" spans="1:86" x14ac:dyDescent="0.3">
      <c r="A13" s="16">
        <v>44348</v>
      </c>
      <c r="B13">
        <v>1</v>
      </c>
      <c r="C13">
        <v>0</v>
      </c>
      <c r="D13">
        <v>0</v>
      </c>
      <c r="E13">
        <v>1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0</v>
      </c>
      <c r="N13">
        <v>1</v>
      </c>
      <c r="O13">
        <v>0</v>
      </c>
      <c r="P13">
        <v>0</v>
      </c>
      <c r="Q13">
        <v>0</v>
      </c>
      <c r="R13">
        <v>1</v>
      </c>
      <c r="S13">
        <v>0</v>
      </c>
      <c r="T13">
        <v>0</v>
      </c>
      <c r="U13">
        <v>0</v>
      </c>
      <c r="V13">
        <v>1</v>
      </c>
      <c r="W13">
        <v>0</v>
      </c>
      <c r="X13">
        <v>0</v>
      </c>
      <c r="Y13">
        <v>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1</v>
      </c>
      <c r="AF13">
        <v>1</v>
      </c>
      <c r="AG13">
        <v>0</v>
      </c>
      <c r="AH13">
        <v>1</v>
      </c>
      <c r="AI13">
        <v>0</v>
      </c>
      <c r="AJ13">
        <v>1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1</v>
      </c>
      <c r="AQ13">
        <v>0</v>
      </c>
      <c r="AR13">
        <v>0</v>
      </c>
      <c r="AS13">
        <v>0</v>
      </c>
      <c r="AT13">
        <v>1</v>
      </c>
      <c r="AU13">
        <v>0</v>
      </c>
      <c r="AV13">
        <v>1</v>
      </c>
      <c r="AW13">
        <v>0</v>
      </c>
      <c r="AX13">
        <v>1</v>
      </c>
      <c r="AY13">
        <v>0</v>
      </c>
      <c r="AZ13">
        <v>1</v>
      </c>
      <c r="BA13">
        <v>0</v>
      </c>
      <c r="BB13">
        <v>0</v>
      </c>
      <c r="BC13">
        <v>1</v>
      </c>
      <c r="BD13">
        <v>0</v>
      </c>
      <c r="BE13">
        <v>1</v>
      </c>
      <c r="BF13">
        <v>0</v>
      </c>
      <c r="BG13">
        <v>1</v>
      </c>
      <c r="BH13">
        <v>0</v>
      </c>
      <c r="BI13">
        <v>0</v>
      </c>
      <c r="BJ13">
        <v>0</v>
      </c>
      <c r="BK13">
        <v>1</v>
      </c>
      <c r="BL13">
        <v>0</v>
      </c>
      <c r="BM13">
        <v>1</v>
      </c>
      <c r="BN13">
        <v>0</v>
      </c>
      <c r="BO13">
        <v>1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1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1</v>
      </c>
      <c r="CC13">
        <v>0</v>
      </c>
      <c r="CD13">
        <v>0</v>
      </c>
      <c r="CE13">
        <v>1</v>
      </c>
      <c r="CF13">
        <v>0</v>
      </c>
      <c r="CG13">
        <v>0</v>
      </c>
      <c r="CH13">
        <v>1</v>
      </c>
    </row>
    <row r="14" spans="1:86" x14ac:dyDescent="0.3">
      <c r="A14" s="16">
        <v>44256</v>
      </c>
      <c r="B14">
        <v>0</v>
      </c>
      <c r="C14">
        <v>0</v>
      </c>
      <c r="D14">
        <v>0</v>
      </c>
      <c r="E14">
        <v>0</v>
      </c>
      <c r="F14">
        <v>0</v>
      </c>
      <c r="G14">
        <v>1</v>
      </c>
      <c r="H14">
        <v>0</v>
      </c>
      <c r="I14">
        <v>0</v>
      </c>
      <c r="J14">
        <v>1</v>
      </c>
      <c r="K14">
        <v>0</v>
      </c>
      <c r="L14">
        <v>0</v>
      </c>
      <c r="M14">
        <v>1</v>
      </c>
      <c r="N14">
        <v>0</v>
      </c>
      <c r="O14">
        <v>0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1</v>
      </c>
      <c r="Y14">
        <v>0</v>
      </c>
      <c r="Z14">
        <v>0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</v>
      </c>
      <c r="AH14">
        <v>1</v>
      </c>
      <c r="AI14">
        <v>0</v>
      </c>
      <c r="AJ14">
        <v>0</v>
      </c>
      <c r="AK14">
        <v>1</v>
      </c>
      <c r="AL14">
        <v>0</v>
      </c>
      <c r="AM14">
        <v>0</v>
      </c>
      <c r="AN14">
        <v>0</v>
      </c>
      <c r="AO14">
        <v>1</v>
      </c>
      <c r="AP14">
        <v>0</v>
      </c>
      <c r="AQ14">
        <v>1</v>
      </c>
      <c r="AR14">
        <v>0</v>
      </c>
      <c r="AS14">
        <v>0</v>
      </c>
      <c r="AT14">
        <v>1</v>
      </c>
      <c r="AU14">
        <v>0</v>
      </c>
      <c r="AV14">
        <v>1</v>
      </c>
      <c r="AW14">
        <v>0</v>
      </c>
      <c r="AX14">
        <v>1</v>
      </c>
      <c r="AY14">
        <v>0</v>
      </c>
      <c r="AZ14">
        <v>0</v>
      </c>
      <c r="BA14">
        <v>1</v>
      </c>
      <c r="BB14">
        <v>0</v>
      </c>
      <c r="BC14">
        <v>0</v>
      </c>
      <c r="BD14">
        <v>0</v>
      </c>
      <c r="BE14">
        <v>0</v>
      </c>
      <c r="BF14">
        <v>1</v>
      </c>
      <c r="BG14">
        <v>1</v>
      </c>
      <c r="BH14">
        <v>0</v>
      </c>
      <c r="BI14">
        <v>0</v>
      </c>
      <c r="BJ14">
        <v>0</v>
      </c>
      <c r="BK14">
        <v>1</v>
      </c>
      <c r="BL14">
        <v>1</v>
      </c>
      <c r="BM14">
        <v>0</v>
      </c>
      <c r="BN14">
        <v>0</v>
      </c>
      <c r="BO14">
        <v>0</v>
      </c>
      <c r="BP14">
        <v>1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1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1</v>
      </c>
      <c r="CH14">
        <v>0</v>
      </c>
    </row>
    <row r="15" spans="1:86" x14ac:dyDescent="0.3">
      <c r="A15" s="16">
        <v>44166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1</v>
      </c>
      <c r="I15">
        <v>0</v>
      </c>
      <c r="J15">
        <v>0</v>
      </c>
      <c r="K15">
        <v>1</v>
      </c>
      <c r="L15">
        <v>1</v>
      </c>
      <c r="M15">
        <v>0</v>
      </c>
      <c r="N15">
        <v>0</v>
      </c>
      <c r="O15">
        <v>0</v>
      </c>
      <c r="P15">
        <v>1</v>
      </c>
      <c r="Q15">
        <v>0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</v>
      </c>
      <c r="Z15">
        <v>0</v>
      </c>
      <c r="AA15">
        <v>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1</v>
      </c>
      <c r="AM15">
        <v>0</v>
      </c>
      <c r="AN15">
        <v>0</v>
      </c>
      <c r="AO15">
        <v>1</v>
      </c>
      <c r="AP15">
        <v>0</v>
      </c>
      <c r="AQ15">
        <v>1</v>
      </c>
      <c r="AR15">
        <v>0</v>
      </c>
      <c r="AS15">
        <v>1</v>
      </c>
      <c r="AT15">
        <v>0</v>
      </c>
      <c r="AU15">
        <v>1</v>
      </c>
      <c r="AV15">
        <v>0</v>
      </c>
      <c r="AW15">
        <v>1</v>
      </c>
      <c r="AX15">
        <v>0</v>
      </c>
      <c r="AY15">
        <v>1</v>
      </c>
      <c r="AZ15">
        <v>0</v>
      </c>
      <c r="BA15">
        <v>0</v>
      </c>
      <c r="BB15">
        <v>1</v>
      </c>
      <c r="BC15">
        <v>0</v>
      </c>
      <c r="BD15">
        <v>1</v>
      </c>
      <c r="BE15">
        <v>0</v>
      </c>
      <c r="BF15">
        <v>1</v>
      </c>
      <c r="BG15">
        <v>0</v>
      </c>
      <c r="BH15">
        <v>1</v>
      </c>
      <c r="BI15">
        <v>0</v>
      </c>
      <c r="BJ15">
        <v>0</v>
      </c>
      <c r="BK15">
        <v>1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1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1</v>
      </c>
      <c r="CE15">
        <v>0</v>
      </c>
      <c r="CF15">
        <v>0</v>
      </c>
      <c r="CG15">
        <v>1</v>
      </c>
      <c r="CH15">
        <v>0</v>
      </c>
    </row>
    <row r="16" spans="1:86" x14ac:dyDescent="0.3">
      <c r="A16" s="16">
        <v>44075</v>
      </c>
      <c r="B16">
        <v>0</v>
      </c>
      <c r="C16">
        <v>0</v>
      </c>
      <c r="D16">
        <v>1</v>
      </c>
      <c r="E16">
        <v>0</v>
      </c>
      <c r="F16">
        <v>0</v>
      </c>
      <c r="G16">
        <v>0</v>
      </c>
      <c r="H16">
        <v>1</v>
      </c>
      <c r="I16">
        <v>0</v>
      </c>
      <c r="J16">
        <v>0</v>
      </c>
      <c r="K16">
        <v>1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1</v>
      </c>
      <c r="S16">
        <v>0</v>
      </c>
      <c r="T16">
        <v>0</v>
      </c>
      <c r="U16">
        <v>0</v>
      </c>
      <c r="V16">
        <v>0</v>
      </c>
      <c r="W16">
        <v>1</v>
      </c>
      <c r="X16">
        <v>0</v>
      </c>
      <c r="Y16">
        <v>1</v>
      </c>
      <c r="Z16">
        <v>0</v>
      </c>
      <c r="AA16">
        <v>1</v>
      </c>
      <c r="AB16">
        <v>0</v>
      </c>
      <c r="AC16">
        <v>0</v>
      </c>
      <c r="AD16">
        <v>0</v>
      </c>
      <c r="AE16">
        <v>1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1</v>
      </c>
      <c r="AM16">
        <v>0</v>
      </c>
      <c r="AN16">
        <v>0</v>
      </c>
      <c r="AO16">
        <v>1</v>
      </c>
      <c r="AP16">
        <v>0</v>
      </c>
      <c r="AQ16">
        <v>0</v>
      </c>
      <c r="AR16">
        <v>0</v>
      </c>
      <c r="AS16">
        <v>1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1</v>
      </c>
      <c r="BC16">
        <v>0</v>
      </c>
      <c r="BD16">
        <v>0</v>
      </c>
      <c r="BE16">
        <v>0</v>
      </c>
      <c r="BF16">
        <v>1</v>
      </c>
      <c r="BG16">
        <v>0</v>
      </c>
      <c r="BH16">
        <v>1</v>
      </c>
      <c r="BI16">
        <v>0</v>
      </c>
      <c r="BJ16">
        <v>0</v>
      </c>
      <c r="BK16">
        <v>1</v>
      </c>
      <c r="BL16">
        <v>1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1</v>
      </c>
      <c r="BS16">
        <v>1</v>
      </c>
      <c r="BT16">
        <v>0</v>
      </c>
      <c r="BU16">
        <v>0</v>
      </c>
      <c r="BV16">
        <v>0</v>
      </c>
      <c r="BW16">
        <v>0</v>
      </c>
      <c r="BX16">
        <v>1</v>
      </c>
      <c r="BY16">
        <v>1</v>
      </c>
      <c r="BZ16">
        <v>0</v>
      </c>
      <c r="CA16">
        <v>0</v>
      </c>
      <c r="CB16">
        <v>0</v>
      </c>
      <c r="CC16">
        <v>1</v>
      </c>
      <c r="CD16">
        <v>0</v>
      </c>
      <c r="CE16">
        <v>0</v>
      </c>
      <c r="CF16">
        <v>0</v>
      </c>
      <c r="CG16">
        <v>1</v>
      </c>
      <c r="CH16">
        <v>0</v>
      </c>
    </row>
    <row r="17" spans="1:86" x14ac:dyDescent="0.3">
      <c r="A17" s="16">
        <v>43983</v>
      </c>
      <c r="B17">
        <v>0</v>
      </c>
      <c r="C17">
        <v>0</v>
      </c>
      <c r="D17">
        <v>0</v>
      </c>
      <c r="E17">
        <v>1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1</v>
      </c>
      <c r="X17">
        <v>0</v>
      </c>
      <c r="Y17">
        <v>0</v>
      </c>
      <c r="Z17">
        <v>1</v>
      </c>
      <c r="AA17">
        <v>0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1</v>
      </c>
      <c r="AJ17">
        <v>0</v>
      </c>
      <c r="AK17">
        <v>0</v>
      </c>
      <c r="AL17">
        <v>1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1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1</v>
      </c>
      <c r="BC17">
        <v>0</v>
      </c>
      <c r="BD17">
        <v>0</v>
      </c>
      <c r="BE17">
        <v>0</v>
      </c>
      <c r="BF17">
        <v>1</v>
      </c>
      <c r="BG17">
        <v>1</v>
      </c>
      <c r="BH17">
        <v>0</v>
      </c>
      <c r="BI17">
        <v>0</v>
      </c>
      <c r="BJ17">
        <v>1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1</v>
      </c>
      <c r="BS17">
        <v>0</v>
      </c>
      <c r="BT17">
        <v>1</v>
      </c>
      <c r="BU17">
        <v>0</v>
      </c>
      <c r="BV17">
        <v>1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1</v>
      </c>
      <c r="CC17">
        <v>0</v>
      </c>
      <c r="CD17">
        <v>0</v>
      </c>
      <c r="CE17">
        <v>0</v>
      </c>
      <c r="CF17">
        <v>0</v>
      </c>
      <c r="CG17">
        <v>1</v>
      </c>
      <c r="CH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Fundamentals</vt:lpstr>
      <vt:lpstr>Ratios</vt:lpstr>
      <vt:lpstr>Dummy Variable Creation</vt:lpstr>
      <vt:lpstr>Data Processing All dummy varia</vt:lpstr>
      <vt:lpstr>DATA - dummy variable merged</vt:lpstr>
      <vt:lpstr>WeightOfEvidence AND IV</vt:lpstr>
      <vt:lpstr>DATA - Filtered</vt:lpstr>
      <vt:lpstr>DATA-TRANPOSED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2026-03-27T00:19:40Z</dcterms:modified>
</cp:coreProperties>
</file>